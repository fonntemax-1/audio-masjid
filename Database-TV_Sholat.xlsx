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a_mesjid" sheetId="1" r:id="rId5"/>
    <sheet state="visible" name="keuangan" sheetId="2" r:id="rId6"/>
    <sheet state="visible" name="jumat" sheetId="3" r:id="rId7"/>
    <sheet state="visible" name="infaq" sheetId="4" r:id="rId8"/>
    <sheet state="visible" name="event" sheetId="5" r:id="rId9"/>
    <sheet state="visible" name="running_text" sheetId="6" r:id="rId10"/>
    <sheet state="visible" name="youtube" sheetId="7" r:id="rId11"/>
    <sheet state="visible" name="adzan" sheetId="8" r:id="rId12"/>
    <sheet state="visible" name="Copy of adzan" sheetId="9" r:id="rId13"/>
    <sheet state="visible" name="murotal" sheetId="10" r:id="rId14"/>
  </sheets>
  <definedNames/>
  <calcPr/>
</workbook>
</file>

<file path=xl/sharedStrings.xml><?xml version="1.0" encoding="utf-8"?>
<sst xmlns="http://schemas.openxmlformats.org/spreadsheetml/2006/main" count="559" uniqueCount="224">
  <si>
    <t>Nama</t>
  </si>
  <si>
    <t>Pemasukan</t>
  </si>
  <si>
    <t>AL-SOBIRIN</t>
  </si>
  <si>
    <t>Alamat</t>
  </si>
  <si>
    <t>Jl. Siaga - Balikpapan</t>
  </si>
  <si>
    <t>Tanggal</t>
  </si>
  <si>
    <t>No. Telp</t>
  </si>
  <si>
    <t>Jumlah</t>
  </si>
  <si>
    <t>0812-345-6789</t>
  </si>
  <si>
    <t>No.Rek</t>
  </si>
  <si>
    <t>Slogan</t>
  </si>
  <si>
    <t>Sucikan Hati, Bersihkan Diri, Imarahkan Masjid</t>
  </si>
  <si>
    <t>Logo</t>
  </si>
  <si>
    <t>BANK BNI 10987654321</t>
  </si>
  <si>
    <t>https://fonntemax-1.github.io/audio-masjid/logo.png</t>
  </si>
  <si>
    <t>Khatib</t>
  </si>
  <si>
    <t>Drs. H. Sokran Lc</t>
  </si>
  <si>
    <t>Infaq Sodaqoh</t>
  </si>
  <si>
    <t>Imam</t>
  </si>
  <si>
    <t>KH. Imam Sujarwo</t>
  </si>
  <si>
    <t>Qris</t>
  </si>
  <si>
    <t>Muadzin</t>
  </si>
  <si>
    <t>Joko Sembung</t>
  </si>
  <si>
    <t>https://fonntemax-1.github.io/audio-masjid/QRIS.jpeg</t>
  </si>
  <si>
    <t>Hamba Allah</t>
  </si>
  <si>
    <t>Kotak Infaq</t>
  </si>
  <si>
    <t>Donasi Jamaah</t>
  </si>
  <si>
    <t>Sumbangan Lainnya</t>
  </si>
  <si>
    <t>Total Pemasukan</t>
  </si>
  <si>
    <t>Pengeluaran</t>
  </si>
  <si>
    <t>Listrik &amp; Air</t>
  </si>
  <si>
    <t>Kebersihan Masjid</t>
  </si>
  <si>
    <t>Internet</t>
  </si>
  <si>
    <t>Konsumsi/Kegiatan</t>
  </si>
  <si>
    <t>Perawatan Masjid</t>
  </si>
  <si>
    <t>Operasional</t>
  </si>
  <si>
    <t>Total Pengeluaran</t>
  </si>
  <si>
    <t>Rekapitulasi</t>
  </si>
  <si>
    <t>Saldo Awal</t>
  </si>
  <si>
    <t>SALDO AKHIR</t>
  </si>
  <si>
    <t xml:space="preserve">Percobaan TV Signage </t>
  </si>
  <si>
    <t>Acara</t>
  </si>
  <si>
    <t>Mesjid AL-SOBIRIN</t>
  </si>
  <si>
    <t>Hari / Tanggal</t>
  </si>
  <si>
    <t>Informasi dan Saran Hubungi</t>
  </si>
  <si>
    <t>Tempat</t>
  </si>
  <si>
    <t>0813-4747-0555</t>
  </si>
  <si>
    <t>Penceramah</t>
  </si>
  <si>
    <t>countdown ramadhan</t>
  </si>
  <si>
    <t>Allaahumma inniy as-aluka 'ilman naafi'an, wa rizqan thayyiban, wa 'amalan mutaqabbalan</t>
  </si>
  <si>
    <t>AUTO</t>
  </si>
  <si>
    <t>menuju Ramadhan</t>
  </si>
  <si>
    <t>countdown malam lailatul qadr</t>
  </si>
  <si>
    <t>menuju Lailatul Qadr</t>
  </si>
  <si>
    <t>countdown idul fitri</t>
  </si>
  <si>
    <t>menuju Idul Fitri</t>
  </si>
  <si>
    <t>countdown idul adha</t>
  </si>
  <si>
    <t>7 hari sebelum 10 Dzulhijjah</t>
  </si>
  <si>
    <t>Ya Allah, sungguh aku memohon kepada-Mu ilmu yang bermanfaat, rezeki yang baik, dan amal yang diterima</t>
  </si>
  <si>
    <t>Rabbanaa aatinaa fid-dunyaa hasanatan wa fil-aakhirati hasanatan wa qinaa 'adzaaban-naar</t>
  </si>
  <si>
    <t>Ya Tuhan kami, berilah kami kebaikan di dunia dan kebaikan di akhirat serta lindungilah kami dari siksa neraka</t>
  </si>
  <si>
    <t>Rabbanaa laa tuzigh quluubanaa ba'da idz hadaitanaa wa hab lanaa mil-ladunka rahmatan innaka antal-wahhaab</t>
  </si>
  <si>
    <t>Ya Tuhan kami, janganlah Engkau jadikan hati kami condong kepada kesesatan setelah Engkau memberi petunjuk kepada kami dan karuniakanlah rahmat dari sisi-Mu</t>
  </si>
  <si>
    <t>Rabbighfir liy wa liwaalidayya wa lil-mu'miniina yauma yaquumul-hisaab</t>
  </si>
  <si>
    <t>Ya Tuhan kami, ampunilah aku, kedua orang tuaku, dan orang-orang mukmin pada hari diadakan perhitungan</t>
  </si>
  <si>
    <t>Rabbirhamhumaa kamaa rabbayaanii shaghiiraa</t>
  </si>
  <si>
    <t>Ya Tuhanku, sayangilah keduanya sebagaimana mereka telah menyayangiku ketika aku masih kecil</t>
  </si>
  <si>
    <t>Rabbi inniy limaa anzalta ilayya min khairin faqiir</t>
  </si>
  <si>
    <t>Ya Tuhanku, sesungguhnya aku sangat memerlukan suatu kebaikan yang Engkau turunkan kepadaku</t>
  </si>
  <si>
    <t>Rabbi zidnii 'ilmaa</t>
  </si>
  <si>
    <t>Ya Tuhanku, tambahkanlah kepadaku ilmu</t>
  </si>
  <si>
    <t>Rabbi ishrah liy shadriy wa yassir liy amriy</t>
  </si>
  <si>
    <t>Ya Tuhanku, lapangkanlah dadaku dan mudahkanlah urusanku</t>
  </si>
  <si>
    <t>Hasbiyallaahu laa ilaaha illaa huwa 'alayhi tawakkaltu wa huwa rabbul-'arsyil-'azhiim</t>
  </si>
  <si>
    <t>Cukuplah Allah bagiku Tidak ada Tuhan selain Dia Kepada-Nya aku bertawakal dan Dia adalah Tuhan Arsy yang agung</t>
  </si>
  <si>
    <t>Hasbunallaahu wa ni'mal-wakiil</t>
  </si>
  <si>
    <t>Youtube</t>
  </si>
  <si>
    <t>https://www.youtube.com/watch?v=vXpWon6serU</t>
  </si>
  <si>
    <t>Cukuplah Allah menjadi penolong kami dan Dia adalah sebaik-baik pelindung</t>
  </si>
  <si>
    <t>Laa ilaaha illaa anta subhaanaka inniy kuntu minazh-zhaalimiin</t>
  </si>
  <si>
    <t>Tidak ada Tuhan selain Engkau Mahasuci Engkau, sesungguhnya aku termasuk orang-orang yang zalim</t>
  </si>
  <si>
    <t>Rabbanaa innanaa aamannaa faghfir lanaa dzunuubanaa wa qinaa 'adzaaban-naar</t>
  </si>
  <si>
    <t>Ya Tuhan kami, sesungguhnya kami telah beriman, maka ampunilah dosa-dosa kami dan lindungilah kami dari siksa neraka</t>
  </si>
  <si>
    <t>DESCRIPTION</t>
  </si>
  <si>
    <t>Rabbanaa aamannaa bimaa anzalta wattaba'nar-rasuula faktubnaa ma'asy-syaahidiin</t>
  </si>
  <si>
    <t>note</t>
  </si>
  <si>
    <t>LINK</t>
  </si>
  <si>
    <t>ketik "ON" untuk menghidupkan</t>
  </si>
  <si>
    <t>ketik "OFF" untuk mematikan suara</t>
  </si>
  <si>
    <t>ketik "AUTO" untuk mute 5 menit sebelum qiroah dan on 30 menit setelah iqomah</t>
  </si>
  <si>
    <t>Ya Tuhan kami, kami telah beriman kepada apa yang Engkau turunkan dan kami telah mengikuti Rasul, maka catatlah kami bersama orang-orang yang menjadi saksi</t>
  </si>
  <si>
    <t>ketik "STOP" untuk mematikan youtube</t>
  </si>
  <si>
    <t>https://www.youtube.com/watch?v=ZONavaMiwSs</t>
  </si>
  <si>
    <t>Rabbanaa afrigh 'alainaa shabran wa tawaffanaa muslimiin</t>
  </si>
  <si>
    <t>SUBUH RAMADHAN</t>
  </si>
  <si>
    <t>STATUS</t>
  </si>
  <si>
    <t>SUBUH BIASA</t>
  </si>
  <si>
    <t>DZUHUR</t>
  </si>
  <si>
    <t>Ya Tuhan kami, limpahkanlah kesabaran kepada kami dan wafatkanlah kami dalam keadaan berserah diri</t>
  </si>
  <si>
    <t>ASHAR</t>
  </si>
  <si>
    <t>Rabbanaa hablanaa min ladunka rahmatan wa hayyi' lanaa min amrinaa rasyadaa</t>
  </si>
  <si>
    <t>MAGRIB RAMADHAN</t>
  </si>
  <si>
    <t>MAGRIB BIASA</t>
  </si>
  <si>
    <t>ISYA</t>
  </si>
  <si>
    <t>JUM'AT</t>
  </si>
  <si>
    <t>Ya Tuhan kami, berikanlah rahmat kepada kami dari sisi-Mu dan sempurnakanlah petunjuk bagi kami dalam urusan kami</t>
  </si>
  <si>
    <t>Rabbanaa dhalamnaa anfusanaa wa illam taghfir lanaa wa tarhamnaa lanakuunanna minal-khaasiriin</t>
  </si>
  <si>
    <t>qiroah-1</t>
  </si>
  <si>
    <t>https://fonntemax-1.github.io/audio-masjid/qiroah.mp3</t>
  </si>
  <si>
    <t>Ya Tuhan kami, kami telah menzalimi diri kami sendiri Jika Engkau tidak mengampuni dan menyayangi kami, niscaya kami termasuk orang-orang yang rugi</t>
  </si>
  <si>
    <t>Rabbanaa laa taj'alnaa fitnatan lilladziina kafaruu waghfir lanaa rabbanaa innaka antal-'aziizul-hakiim</t>
  </si>
  <si>
    <t>Ya Tuhan kami, janganlah Engkau jadikan kami sasaran fitnah bagi orang-orang kafir dan ampunilah kami Sesungguhnya Engkau Mahaperkasa lagi Mahabijaksana</t>
  </si>
  <si>
    <t>Rabbanaa taqabbal minnaa innaka antas-samii'ul-'aliim</t>
  </si>
  <si>
    <t>Ya Tuhan kami, terimalah amal kami Sesungguhnya Engkaulah Yang Maha Mendengar lagi Maha Mengetahui</t>
  </si>
  <si>
    <t>Rabbanaa waj'alnaa muslimaini laka wa min dzurriyyatinaa ummatan muslimatan laka</t>
  </si>
  <si>
    <t>Ya Tuhan kami, jadikanlah kami berdua orang yang berserah diri kepada-Mu dan dari keturunan kami umat yang berserah diri kepada-Mu</t>
  </si>
  <si>
    <t>ON</t>
  </si>
  <si>
    <t>Rabbanaa wa arinaa manaasikanaa wa tub 'alainaa innaka antat-tawwaabur-rahiim</t>
  </si>
  <si>
    <t>qiroah-2</t>
  </si>
  <si>
    <t>qiroah-3</t>
  </si>
  <si>
    <t>qiroah-4</t>
  </si>
  <si>
    <t>qiroah-5</t>
  </si>
  <si>
    <t>Ya Tuhan kami, tunjukkanlah kepada kami tata cara ibadah kami dan terimalah tobat kami Sesungguhnya Engkaulah Maha Penerima Tobat lagi Maha Penyayang</t>
  </si>
  <si>
    <t>Rabbanaa laa tu'aakhidznaa innasiinaa aw akhta'naa</t>
  </si>
  <si>
    <t>tarhim</t>
  </si>
  <si>
    <t>Ya Tuhan kami, janganlah Engkau hukum kami jika kami lupa atau melakukan kesalahan</t>
  </si>
  <si>
    <t>adzan-biasa</t>
  </si>
  <si>
    <t>OFF</t>
  </si>
  <si>
    <t>Rabbanaa wa laa tahmil 'alainaa isran kamaa hamaltahu 'alal-ladziina min qablinaa</t>
  </si>
  <si>
    <t>sirine</t>
  </si>
  <si>
    <t>beep</t>
  </si>
  <si>
    <t>Ya Tuhan kami, janganlah Engkau bebankan kepada kami beban berat sebagaimana Engkau bebankan kepada orang-orang sebelum kami</t>
  </si>
  <si>
    <t>Rabbanaa wa laa tuhammilnaa maa laa thaaqata lanaa bih</t>
  </si>
  <si>
    <t>NO</t>
  </si>
  <si>
    <t>SUBUH</t>
  </si>
  <si>
    <t>DETIK</t>
  </si>
  <si>
    <t>Ya Tuhan kami, janganlah Engkau pikulkan kepada kami apa yang tidak sanggup kami memikulnya</t>
  </si>
  <si>
    <t>doa-puasa</t>
  </si>
  <si>
    <t>adzan-subuh</t>
  </si>
  <si>
    <t>Wa'fu 'annaa waghfir lanaa warhamnaa anta maulaanaa fansurnaa 'alal-qaumil-kaafiriin</t>
  </si>
  <si>
    <t>doa-buka</t>
  </si>
  <si>
    <t>MAGRIB</t>
  </si>
  <si>
    <t>Maafkanlah kami, ampunilah kami, dan rahmatilah kami Engkaulah pelindung kami, maka tolonglah kami menghadapi orang-orang kafir</t>
  </si>
  <si>
    <t>Rabbanaa laa taj'al fii quluubinaa ghillal-lilladziina aamanuu</t>
  </si>
  <si>
    <t>doa-adzan</t>
  </si>
  <si>
    <t>Ya Tuhan kami, janganlah Engkau jadikan dalam hati kami rasa dengki terhadap orang-orang yang beriman</t>
  </si>
  <si>
    <t>https://fonntemax-1.github.io/audio-masjid/Shalawat%20Tarhim.mp3</t>
  </si>
  <si>
    <t>Allaahumma inniy as-alukal-'afwa wal-'aafiyata fid-dunyaa wal-aakhirah</t>
  </si>
  <si>
    <t>https://fonntemax-1.github.io/audio-masjid/beep.mp3</t>
  </si>
  <si>
    <t>Ya Allah, aku memohon kepada-Mu ampunan dan keselamatan di dunia dan akhirat</t>
  </si>
  <si>
    <t>Allaahumma inniy as-aluka al-hudaa wat-tuqaa wal-'afaafa wal-ghinaa</t>
  </si>
  <si>
    <t>Ya Allah, aku memohon kepada-Mu petunjuk, ketakwaan, kesucian diri, dan kecukupan</t>
  </si>
  <si>
    <t>Allaahumma inniy as-aluka ridhaaka wal-jannah wa a'uudzu bika min sakhatika wan-naar</t>
  </si>
  <si>
    <t>Ya Allah, aku memohon keridaan-Mu dan surga-Mu, serta berlindung kepada-Mu dari kemurkaan-Mu dan neraka</t>
  </si>
  <si>
    <t>Allaahumma inniy a'uudzu bika minal-hammi wal-hazan</t>
  </si>
  <si>
    <t>iqomah</t>
  </si>
  <si>
    <t>Ya Allah, aku berlindung kepada-Mu dari kegelisahan dan kesedihan</t>
  </si>
  <si>
    <t>gap</t>
  </si>
  <si>
    <t>https://fonntemax-1.github.io/audio-masjid/adzan-subuh.mp3</t>
  </si>
  <si>
    <t>Allaahumma inniy a'uudzu bika minal-'ajzi wal-kasal</t>
  </si>
  <si>
    <t>Ya Allah, aku berlindung kepada-Mu dari kelemahan dan kemalasan</t>
  </si>
  <si>
    <t>Allaahumma inniy a'uudzu bika minal-jubni wal-bukhl</t>
  </si>
  <si>
    <t>Ya Allah, aku berlindung kepada-Mu dari sifat pengecut dan kikir</t>
  </si>
  <si>
    <t>Allaahumma inniy a'uudzu bika min ghalabatid-daini wa qahrir-rijaal</t>
  </si>
  <si>
    <t>doa</t>
  </si>
  <si>
    <t>Ya Allah, aku berlindung kepada-Mu dari lilitan utang dan tekanan manusia</t>
  </si>
  <si>
    <t>Allaahumma inniy as-aluka hubbaka wa hubba man yuhibbuka wa hubba 'amalin yuqarribuniy ilaa hubbik</t>
  </si>
  <si>
    <t>https://fonntemax-1.github.io/audio-masjid/adzan-biasa.mp3</t>
  </si>
  <si>
    <t>Ya Allah, aku memohon cinta-Mu, cinta orang-orang yang mencintai-Mu, dan cinta amal yang mendekatkanku kepada cinta-Mu</t>
  </si>
  <si>
    <t>Allaahumma a'inniy 'alaa dzikrika wa syukrika wa husni 'ibaadatik</t>
  </si>
  <si>
    <t>Ya Allah, bantulah aku untuk mengingat-Mu, bersyukur kepada-Mu, dan beribadah dengan baik kepada-Mu</t>
  </si>
  <si>
    <t>Allaahumma inniy as-aluka tsabaatan fil-amri wal-'aziimata 'alar-rusydi</t>
  </si>
  <si>
    <t>Ya Allah, aku memohon keteguhan dalam urusan dan tekad untuk mengikuti petunjuk</t>
  </si>
  <si>
    <t>https://fonntemax-1.github.io/audio-masjid/doa.mp3</t>
  </si>
  <si>
    <t>Allaahumma inniy as-aluka ilman naafi'an wa rizqan thayyiban wa 'amalan mutaqabbalan</t>
  </si>
  <si>
    <t>Ya Allah, aku memohon ilmu yang bermanfaat, rezeki yang baik, dan amal yang diterima</t>
  </si>
  <si>
    <t>Allaahummaghfir liy warhamniy wahdiniy wa 'aafiniy warzuqniy</t>
  </si>
  <si>
    <t>Ya Allah, ampunilah aku, rahmatilah aku, berilah aku petunjuk, berikanlah aku kesehatan, dan berilah aku rezeki</t>
  </si>
  <si>
    <t>Allaahumma inniy a'uudzu bika min 'ilmin laa yanfa'u wa qalbin laa yakhsya'u wa nafsin laa tasyba'u wa du'aa'in laa yusma'u</t>
  </si>
  <si>
    <t>https://fonntemax-1.github.io/audio-masjid/iqomah.mp3</t>
  </si>
  <si>
    <t>Ya Allah, aku berlindung kepada-Mu dari ilmu yang tidak bermanfaat, hati yang tidak khusyuk, jiwa yang tidak pernah puas, dan doa yang tidak didengar</t>
  </si>
  <si>
    <t>Allaahumma aslih liy diiniyalladzi huwa 'ishmatu amriy wa aslih liy dunyaayallatii fiihaa ma'aasyiy</t>
  </si>
  <si>
    <t>Ya Allah, perbaikilah agamaku yang menjadi penjaga urusanku dan perbaikilah duniaku yang menjadi tempat kehidupanku</t>
  </si>
  <si>
    <t>Allaahumma aslih liy aakhiratiyallatii ilayhaa ma'aadiy</t>
  </si>
  <si>
    <t>Ya Allah, perbaikilah akhiratku yang kepadanya aku akan kembali</t>
  </si>
  <si>
    <t>Allaahumma-j'alil-hayaata ziyaadatan liy fii kulli khair</t>
  </si>
  <si>
    <t>https://fonntemax-1.github.io/audio-masjid/sirine.mp3</t>
  </si>
  <si>
    <t>Ya Allah, jadikanlah kehidupan sebagai tambahan bagiku dalam setiap kebaikan</t>
  </si>
  <si>
    <t>Allaahumma-j'alil-mauta raahatan liy min kulli syarr</t>
  </si>
  <si>
    <t>Ya Allah, jadikanlah kematian sebagai istirahat bagiku dari segala keburukan</t>
  </si>
  <si>
    <t>Allaahumma inniy as-aluka al-'afwa wal-'aafiyata wal-mu'aafaata ad-daa'imata fid-dunyaa wal-aakhirah</t>
  </si>
  <si>
    <t>Ya Allah, aku memohon ampunan, keselamatan, dan kesehatan yang terus-menerus di dunia dan akhirat</t>
  </si>
  <si>
    <t>Allaahumma inniy a'uudzu bika min zawaali ni'matika wa tahawwuli 'aafiyatika wa fujaa-ati niqmatika wa jamii'i sakhatika</t>
  </si>
  <si>
    <t>https://fonntemax-1.github.io/audio-masjid/doa-puasa.mp3</t>
  </si>
  <si>
    <t>Ya Allah, aku berlindung kepada-Mu dari hilangnya nikmat-Mu, berubahnya keselamatan yang Engkau berikan, datangnya azab-Mu secara tiba-tiba, dan seluruh kemurkaan-Mu</t>
  </si>
  <si>
    <t>Allaahumma inniy as-aluka qalban saliiman wa lisaanan shaadiqan wa 'amalan shaalihan</t>
  </si>
  <si>
    <t>Ya Allah, aku memohon hati yang bersih, lisan yang jujur, dan amal yang saleh</t>
  </si>
  <si>
    <t>Allaahumma inniy a'uudzu bika min suu-il-akhlaaqi wal-a'maali wal-ahwaa'</t>
  </si>
  <si>
    <t>Ya Allah, aku berlindung kepada-Mu dari buruknya akhlak, amal, dan hawa nafsu</t>
  </si>
  <si>
    <t>Allaahumma inniy as-aluka husnal-khaatimah</t>
  </si>
  <si>
    <t>https://fonntemax-1.github.io/audio-masjid/doa-buka.mp3</t>
  </si>
  <si>
    <t xml:space="preserve">takbiran </t>
  </si>
  <si>
    <t>1-H Ramadhan  Magrib &amp; Isya mulai 30 menit setelah iqomah</t>
  </si>
  <si>
    <t>takbiran</t>
  </si>
  <si>
    <t>Ya Allah, aku memohon kepada-Mu akhir kehidupan yang baik</t>
  </si>
  <si>
    <t>Allaahumma inniy as-aluka ridhaaka wal-'afwa wal-'aafiyah</t>
  </si>
  <si>
    <t>7 +H Syawal  semua Waktu Sholat mulai 30 menit setelah iqomah</t>
  </si>
  <si>
    <t>1-H 10 Dzulhijjah Magrib &amp; Isya mulai 30 menit setelah iqomah</t>
  </si>
  <si>
    <t>Ya Allah, aku memohon keridaan-Mu, ampunan-Mu, dan keselamatan</t>
  </si>
  <si>
    <t>7 +H 10 Dzulhijjah  semua Waktu Sholat mulai 30 menit setelah iqomah</t>
  </si>
  <si>
    <t>Allaahumma baarik liy fii waqtii wa 'amalii wa rizqiy</t>
  </si>
  <si>
    <t>Takbiran running selama 30 menit</t>
  </si>
  <si>
    <t>Saat Takbiran ON yotube / Video kondisi Mute, setelah takbiran selesai youtube auto Unmute</t>
  </si>
  <si>
    <t>Ya Allah, berkahilah waktuku, amalku, dan rezekiku</t>
  </si>
  <si>
    <t>Allaahumma ihdinii wa saddidnii</t>
  </si>
  <si>
    <t xml:space="preserve">sirine </t>
  </si>
  <si>
    <t>Khusus bulan Subuh &amp; Maghrib Bulan Ramadhan</t>
  </si>
  <si>
    <t>Ya Allah, berilah aku petunjuk dan luruskanlah langkahku</t>
  </si>
  <si>
    <t>Allaahumma qawwiniy 'alaa thaa'atika wa syukrika wa husni 'ibaadatik</t>
  </si>
  <si>
    <t>Ya Allah, kuatkanlah aku untuk taat kepada-Mu, bersyukur kepada-Mu, dan beribadah dengan sebaik-baiknya</t>
  </si>
  <si>
    <t>Allaahumma baarik lanaa fii ahliinaa wa maalinaa wa a'maalinaa</t>
  </si>
  <si>
    <t>Ya Allah, berkahilah keluarga kami, harta kami, dan amal-amal kami</t>
  </si>
  <si>
    <t>Allaahumma ihfazhnii wa ahlii min kulli suu'in wa makruuh</t>
  </si>
  <si>
    <t>Ya Allah, jagalah aku dan keluargaku dari segala keburukan dan hal yang tidak kami sukai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</si>
</sst>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Aptos Narrow"/>
    </font>
    <font>
      <color theme="1"/>
      <name val="Arial"/>
    </font>
    <font>
      <sz val="11.0"/>
      <color theme="1"/>
      <name val="Aptos Narrow"/>
    </font>
    <font>
      <u/>
      <color rgb="FF0000FF"/>
    </font>
    <font>
      <i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quotePrefix="1" borderId="0" fillId="0" fontId="1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3" numFmtId="164" xfId="0" applyAlignment="1" applyFont="1" applyNumberFormat="1">
      <alignment horizontal="left" readingOrder="0" vertical="bottom"/>
    </xf>
    <xf borderId="0" fillId="0" fontId="1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8" numFmtId="0" xfId="0" applyFont="1"/>
    <xf borderId="0" fillId="0" fontId="8" numFmtId="0" xfId="0" applyAlignment="1" applyFont="1">
      <alignment readingOrder="0"/>
    </xf>
    <xf borderId="0" fillId="2" fontId="9" numFmtId="0" xfId="0" applyAlignment="1" applyFill="1" applyFont="1">
      <alignment readingOrder="0"/>
    </xf>
    <xf borderId="0" fillId="2" fontId="9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nntemax-1.github.io/audio-masjid/iqomah.mp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onntemax-1.github.io/audio-masjid/QRIS.jpe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XpWon6serU" TargetMode="External"/><Relationship Id="rId2" Type="http://schemas.openxmlformats.org/officeDocument/2006/relationships/hyperlink" Target="https://www.youtube.com/watch?v=ZONavaMiwSs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fonntemax-1.github.io/audio-masjid/iqomah.mp3" TargetMode="External"/><Relationship Id="rId10" Type="http://schemas.openxmlformats.org/officeDocument/2006/relationships/hyperlink" Target="https://fonntemax-1.github.io/audio-masjid/doa.mp3" TargetMode="External"/><Relationship Id="rId13" Type="http://schemas.openxmlformats.org/officeDocument/2006/relationships/hyperlink" Target="https://fonntemax-1.github.io/audio-masjid/doa-puasa.mp3" TargetMode="External"/><Relationship Id="rId12" Type="http://schemas.openxmlformats.org/officeDocument/2006/relationships/hyperlink" Target="https://fonntemax-1.github.io/audio-masjid/sirine.mp3" TargetMode="External"/><Relationship Id="rId1" Type="http://schemas.openxmlformats.org/officeDocument/2006/relationships/hyperlink" Target="https://fonntemax-1.github.io/audio-masjid/Shalawat%20Tarhim.mp3" TargetMode="External"/><Relationship Id="rId2" Type="http://schemas.openxmlformats.org/officeDocument/2006/relationships/hyperlink" Target="https://fonntemax-1.github.io/audio-masjid/Shalawat%20Tarhim.mp3" TargetMode="External"/><Relationship Id="rId3" Type="http://schemas.openxmlformats.org/officeDocument/2006/relationships/hyperlink" Target="https://fonntemax-1.github.io/audio-masjid/Shalawat%20Tarhim.mp3" TargetMode="External"/><Relationship Id="rId4" Type="http://schemas.openxmlformats.org/officeDocument/2006/relationships/hyperlink" Target="https://fonntemax-1.github.io/audio-masjid/Shalawat%20Tarhim.mp3" TargetMode="External"/><Relationship Id="rId9" Type="http://schemas.openxmlformats.org/officeDocument/2006/relationships/hyperlink" Target="https://fonntemax-1.github.io/audio-masjid/adzan-biasa.mp3" TargetMode="External"/><Relationship Id="rId15" Type="http://schemas.openxmlformats.org/officeDocument/2006/relationships/hyperlink" Target="https://fonntemax-1.github.io/audio-masjid/iqomah.mp3" TargetMode="External"/><Relationship Id="rId14" Type="http://schemas.openxmlformats.org/officeDocument/2006/relationships/hyperlink" Target="https://fonntemax-1.github.io/audio-masjid/doa.mp3" TargetMode="External"/><Relationship Id="rId16" Type="http://schemas.openxmlformats.org/officeDocument/2006/relationships/drawing" Target="../drawings/drawing8.xml"/><Relationship Id="rId5" Type="http://schemas.openxmlformats.org/officeDocument/2006/relationships/hyperlink" Target="https://fonntemax-1.github.io/audio-masjid/Shalawat%20Tarhim.mp3" TargetMode="External"/><Relationship Id="rId6" Type="http://schemas.openxmlformats.org/officeDocument/2006/relationships/hyperlink" Target="https://fonntemax-1.github.io/audio-masjid/Shalawat%20Tarhim.mp3" TargetMode="External"/><Relationship Id="rId7" Type="http://schemas.openxmlformats.org/officeDocument/2006/relationships/hyperlink" Target="https://fonntemax-1.github.io/audio-masjid/beep.mp3" TargetMode="External"/><Relationship Id="rId8" Type="http://schemas.openxmlformats.org/officeDocument/2006/relationships/hyperlink" Target="https://fonntemax-1.github.io/audio-masjid/adzan-subuh.mp3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fonntemax-1.github.io/audio-masjid/iqomah.mp3" TargetMode="External"/><Relationship Id="rId10" Type="http://schemas.openxmlformats.org/officeDocument/2006/relationships/hyperlink" Target="https://fonntemax-1.github.io/audio-masjid/doa.mp3" TargetMode="External"/><Relationship Id="rId13" Type="http://schemas.openxmlformats.org/officeDocument/2006/relationships/hyperlink" Target="https://fonntemax-1.github.io/audio-masjid/doa-puasa.mp3" TargetMode="External"/><Relationship Id="rId12" Type="http://schemas.openxmlformats.org/officeDocument/2006/relationships/hyperlink" Target="https://fonntemax-1.github.io/audio-masjid/sirine.mp3" TargetMode="External"/><Relationship Id="rId1" Type="http://schemas.openxmlformats.org/officeDocument/2006/relationships/hyperlink" Target="https://fonntemax-1.github.io/audio-masjid/Shalawat%20Tarhim.mp3" TargetMode="External"/><Relationship Id="rId2" Type="http://schemas.openxmlformats.org/officeDocument/2006/relationships/hyperlink" Target="https://fonntemax-1.github.io/audio-masjid/Shalawat%20Tarhim.mp3" TargetMode="External"/><Relationship Id="rId3" Type="http://schemas.openxmlformats.org/officeDocument/2006/relationships/hyperlink" Target="https://fonntemax-1.github.io/audio-masjid/Shalawat%20Tarhim.mp3" TargetMode="External"/><Relationship Id="rId4" Type="http://schemas.openxmlformats.org/officeDocument/2006/relationships/hyperlink" Target="https://fonntemax-1.github.io/audio-masjid/Shalawat%20Tarhim.mp3" TargetMode="External"/><Relationship Id="rId9" Type="http://schemas.openxmlformats.org/officeDocument/2006/relationships/hyperlink" Target="https://fonntemax-1.github.io/audio-masjid/adzan-biasa.mp3" TargetMode="External"/><Relationship Id="rId15" Type="http://schemas.openxmlformats.org/officeDocument/2006/relationships/hyperlink" Target="https://fonntemax-1.github.io/audio-masjid/iqomah.mp3" TargetMode="External"/><Relationship Id="rId14" Type="http://schemas.openxmlformats.org/officeDocument/2006/relationships/hyperlink" Target="https://fonntemax-1.github.io/audio-masjid/doa.mp3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s://fonntemax-1.github.io/audio-masjid/Shalawat%20Tarhim.mp3" TargetMode="External"/><Relationship Id="rId6" Type="http://schemas.openxmlformats.org/officeDocument/2006/relationships/hyperlink" Target="https://fonntemax-1.github.io/audio-masjid/Shalawat%20Tarhim.mp3" TargetMode="External"/><Relationship Id="rId7" Type="http://schemas.openxmlformats.org/officeDocument/2006/relationships/hyperlink" Target="https://fonntemax-1.github.io/audio-masjid/beep.mp3" TargetMode="External"/><Relationship Id="rId8" Type="http://schemas.openxmlformats.org/officeDocument/2006/relationships/hyperlink" Target="https://fonntemax-1.github.io/audio-masjid/adzan-subuh.mp3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13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6</v>
      </c>
      <c r="B3" s="4" t="s">
        <v>8</v>
      </c>
    </row>
    <row r="4">
      <c r="A4" s="1" t="s">
        <v>10</v>
      </c>
      <c r="B4" s="1" t="s">
        <v>11</v>
      </c>
    </row>
    <row r="5">
      <c r="A5" s="1" t="s">
        <v>12</v>
      </c>
      <c r="B5" s="15" t="s">
        <v>14</v>
      </c>
    </row>
    <row r="16">
      <c r="B16" s="16"/>
    </row>
    <row r="19">
      <c r="B19" s="16"/>
    </row>
    <row r="23">
      <c r="B23" s="16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6.63"/>
    <col customWidth="1" min="5" max="5" width="17.38"/>
  </cols>
  <sheetData>
    <row r="1">
      <c r="A1" s="2" t="s">
        <v>1</v>
      </c>
      <c r="B1" s="5" t="s">
        <v>7</v>
      </c>
      <c r="D1" s="1" t="s">
        <v>5</v>
      </c>
      <c r="E1" s="7">
        <v>46290.0</v>
      </c>
    </row>
    <row r="2">
      <c r="A2" s="9" t="s">
        <v>17</v>
      </c>
      <c r="B2" s="11">
        <v>2350000.0</v>
      </c>
    </row>
    <row r="3">
      <c r="A3" s="9" t="s">
        <v>24</v>
      </c>
      <c r="B3" s="11">
        <v>1000000.0</v>
      </c>
    </row>
    <row r="4">
      <c r="A4" s="13" t="s">
        <v>25</v>
      </c>
      <c r="B4" s="11">
        <v>825000.0</v>
      </c>
    </row>
    <row r="5">
      <c r="A5" s="13" t="s">
        <v>26</v>
      </c>
      <c r="B5" s="11">
        <v>500000.0</v>
      </c>
    </row>
    <row r="6">
      <c r="A6" s="13" t="s">
        <v>27</v>
      </c>
      <c r="B6" s="11">
        <v>350000.0</v>
      </c>
    </row>
    <row r="7">
      <c r="A7" s="14" t="s">
        <v>28</v>
      </c>
      <c r="B7" s="17">
        <f>SUM(B2:B6)</f>
        <v>5025000</v>
      </c>
    </row>
    <row r="8">
      <c r="A8" s="10"/>
      <c r="B8" s="10"/>
    </row>
    <row r="9">
      <c r="A9" s="18" t="s">
        <v>29</v>
      </c>
      <c r="B9" s="5" t="s">
        <v>7</v>
      </c>
    </row>
    <row r="10">
      <c r="A10" s="13" t="s">
        <v>30</v>
      </c>
      <c r="B10" s="11">
        <v>300000.0</v>
      </c>
    </row>
    <row r="11">
      <c r="A11" s="13" t="s">
        <v>31</v>
      </c>
      <c r="B11" s="11">
        <v>150000.0</v>
      </c>
    </row>
    <row r="12">
      <c r="A12" s="3" t="s">
        <v>32</v>
      </c>
      <c r="B12" s="19">
        <v>200000.0</v>
      </c>
    </row>
    <row r="13">
      <c r="A13" s="13" t="s">
        <v>33</v>
      </c>
      <c r="B13" s="11">
        <v>200000.0</v>
      </c>
    </row>
    <row r="14">
      <c r="A14" s="13" t="s">
        <v>34</v>
      </c>
      <c r="B14" s="11">
        <v>175000.0</v>
      </c>
    </row>
    <row r="15">
      <c r="A15" s="13" t="s">
        <v>35</v>
      </c>
      <c r="B15" s="11">
        <v>125000.0</v>
      </c>
    </row>
    <row r="16">
      <c r="A16" s="14" t="s">
        <v>36</v>
      </c>
      <c r="B16" s="17">
        <f>SUM(B10:B15)</f>
        <v>1150000</v>
      </c>
    </row>
    <row r="17">
      <c r="A17" s="10"/>
      <c r="B17" s="10"/>
    </row>
    <row r="18">
      <c r="A18" s="18" t="s">
        <v>37</v>
      </c>
      <c r="B18" s="10"/>
    </row>
    <row r="19">
      <c r="A19" s="14" t="s">
        <v>38</v>
      </c>
      <c r="B19" s="17">
        <v>1500000.0</v>
      </c>
    </row>
    <row r="20">
      <c r="A20" s="14" t="s">
        <v>28</v>
      </c>
      <c r="B20" s="17">
        <f>B7</f>
        <v>5025000</v>
      </c>
    </row>
    <row r="21">
      <c r="A21" s="14" t="s">
        <v>36</v>
      </c>
      <c r="B21" s="17">
        <f>B16</f>
        <v>1150000</v>
      </c>
    </row>
    <row r="22">
      <c r="A22" s="10"/>
      <c r="B22" s="10"/>
    </row>
    <row r="23">
      <c r="A23" s="14" t="s">
        <v>39</v>
      </c>
      <c r="B23" s="17">
        <f>(B19+B20)-B21</f>
        <v>5375000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</cols>
  <sheetData>
    <row r="1">
      <c r="A1" s="3" t="s">
        <v>5</v>
      </c>
      <c r="B1" s="6">
        <v>46290.0</v>
      </c>
    </row>
    <row r="2">
      <c r="A2" s="3" t="s">
        <v>15</v>
      </c>
      <c r="B2" s="8" t="s">
        <v>16</v>
      </c>
    </row>
    <row r="3">
      <c r="A3" s="3" t="s">
        <v>18</v>
      </c>
      <c r="B3" s="8" t="s">
        <v>19</v>
      </c>
    </row>
    <row r="4">
      <c r="A4" s="3" t="s">
        <v>21</v>
      </c>
      <c r="B4" s="8" t="s">
        <v>22</v>
      </c>
    </row>
    <row r="5">
      <c r="A5" s="10"/>
      <c r="B5" s="12"/>
    </row>
    <row r="6">
      <c r="A6" s="10"/>
      <c r="B6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1">
      <c r="A1" s="1" t="s">
        <v>9</v>
      </c>
      <c r="B1" s="1" t="s">
        <v>13</v>
      </c>
    </row>
    <row r="2">
      <c r="A2" s="1" t="s">
        <v>0</v>
      </c>
      <c r="B2" s="1" t="s">
        <v>2</v>
      </c>
    </row>
    <row r="3">
      <c r="A3" s="1" t="s">
        <v>20</v>
      </c>
      <c r="B3" s="15" t="s">
        <v>23</v>
      </c>
    </row>
    <row r="4">
      <c r="A4" s="1"/>
    </row>
  </sheetData>
  <hyperlinks>
    <hyperlink r:id="rId1" ref="B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9.25"/>
    <col customWidth="1" min="3" max="3" width="28.13"/>
    <col customWidth="1" min="4" max="4" width="22.63"/>
    <col customWidth="1" min="5" max="5" width="16.38"/>
  </cols>
  <sheetData>
    <row r="1">
      <c r="B1" s="1" t="s">
        <v>40</v>
      </c>
      <c r="C1" s="1" t="s">
        <v>41</v>
      </c>
    </row>
    <row r="2">
      <c r="B2" s="1" t="s">
        <v>42</v>
      </c>
      <c r="C2" s="1" t="s">
        <v>43</v>
      </c>
    </row>
    <row r="3">
      <c r="B3" s="1" t="s">
        <v>44</v>
      </c>
      <c r="C3" s="1" t="s">
        <v>45</v>
      </c>
    </row>
    <row r="4">
      <c r="B4" s="1" t="s">
        <v>46</v>
      </c>
      <c r="C4" s="1" t="s">
        <v>47</v>
      </c>
    </row>
    <row r="8">
      <c r="A8" s="1" t="s">
        <v>48</v>
      </c>
      <c r="B8" s="1">
        <v>164.0</v>
      </c>
      <c r="C8" s="1" t="s">
        <v>50</v>
      </c>
      <c r="D8" s="1" t="s">
        <v>51</v>
      </c>
    </row>
    <row r="9">
      <c r="A9" s="1" t="s">
        <v>52</v>
      </c>
      <c r="B9" s="1">
        <v>10.0</v>
      </c>
      <c r="C9" s="1" t="s">
        <v>50</v>
      </c>
      <c r="D9" s="1" t="s">
        <v>53</v>
      </c>
    </row>
    <row r="10">
      <c r="A10" s="1" t="s">
        <v>54</v>
      </c>
      <c r="B10" s="1">
        <v>7.0</v>
      </c>
      <c r="C10" s="1" t="s">
        <v>50</v>
      </c>
      <c r="D10" s="1" t="s">
        <v>55</v>
      </c>
    </row>
    <row r="11">
      <c r="A11" s="1" t="s">
        <v>56</v>
      </c>
      <c r="B11" s="1">
        <v>7.0</v>
      </c>
      <c r="C11" s="1" t="s">
        <v>50</v>
      </c>
      <c r="D11" s="1" t="s">
        <v>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42.38"/>
  </cols>
  <sheetData>
    <row r="1">
      <c r="A1" s="20"/>
      <c r="B1" s="21" t="s">
        <v>49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B2" s="1" t="s">
        <v>58</v>
      </c>
    </row>
    <row r="4">
      <c r="A4" s="20"/>
      <c r="B4" s="21" t="s">
        <v>59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B5" s="1" t="s">
        <v>60</v>
      </c>
    </row>
    <row r="7">
      <c r="A7" s="20"/>
      <c r="B7" s="21" t="s">
        <v>61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B8" s="1" t="s">
        <v>62</v>
      </c>
    </row>
    <row r="10">
      <c r="A10" s="20"/>
      <c r="B10" s="21" t="s">
        <v>63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B11" s="1" t="s">
        <v>64</v>
      </c>
    </row>
    <row r="13">
      <c r="A13" s="20"/>
      <c r="B13" s="21" t="s">
        <v>65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B14" s="1" t="s">
        <v>66</v>
      </c>
    </row>
    <row r="16">
      <c r="A16" s="20"/>
      <c r="B16" s="21" t="s">
        <v>67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B17" s="1" t="s">
        <v>68</v>
      </c>
    </row>
    <row r="19">
      <c r="A19" s="20"/>
      <c r="B19" s="21" t="s">
        <v>69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B20" s="1" t="s">
        <v>70</v>
      </c>
    </row>
    <row r="22">
      <c r="A22" s="20"/>
      <c r="B22" s="21" t="s">
        <v>71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B23" s="1" t="s">
        <v>72</v>
      </c>
    </row>
    <row r="25">
      <c r="A25" s="20"/>
      <c r="B25" s="21" t="s">
        <v>73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B26" s="1" t="s">
        <v>74</v>
      </c>
    </row>
    <row r="28">
      <c r="A28" s="20"/>
      <c r="B28" s="21" t="s">
        <v>75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B29" s="1" t="s">
        <v>78</v>
      </c>
    </row>
    <row r="31">
      <c r="A31" s="20"/>
      <c r="B31" s="21" t="s">
        <v>79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B32" s="1" t="s">
        <v>80</v>
      </c>
    </row>
    <row r="34">
      <c r="A34" s="20"/>
      <c r="B34" s="21" t="s">
        <v>81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B35" s="1" t="s">
        <v>82</v>
      </c>
    </row>
    <row r="37">
      <c r="A37" s="20"/>
      <c r="B37" s="21" t="s">
        <v>84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B38" s="1" t="s">
        <v>90</v>
      </c>
    </row>
    <row r="40">
      <c r="A40" s="20"/>
      <c r="B40" s="21" t="s">
        <v>93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B41" s="1" t="s">
        <v>98</v>
      </c>
    </row>
    <row r="43">
      <c r="A43" s="20"/>
      <c r="B43" s="21" t="s">
        <v>100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B44" s="1" t="s">
        <v>105</v>
      </c>
    </row>
    <row r="46">
      <c r="A46" s="20"/>
      <c r="B46" s="21" t="s">
        <v>106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B47" s="1" t="s">
        <v>109</v>
      </c>
    </row>
    <row r="49">
      <c r="A49" s="20"/>
      <c r="B49" s="21" t="s">
        <v>110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B50" s="1" t="s">
        <v>111</v>
      </c>
    </row>
    <row r="52">
      <c r="A52" s="20"/>
      <c r="B52" s="21" t="s">
        <v>112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B53" s="1" t="s">
        <v>113</v>
      </c>
    </row>
    <row r="55">
      <c r="A55" s="20"/>
      <c r="B55" s="21" t="s">
        <v>114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B56" s="1" t="s">
        <v>115</v>
      </c>
    </row>
    <row r="58">
      <c r="A58" s="20"/>
      <c r="B58" s="21" t="s">
        <v>117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B59" s="1" t="s">
        <v>122</v>
      </c>
    </row>
    <row r="61">
      <c r="A61" s="20"/>
      <c r="B61" s="21" t="s">
        <v>123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B62" s="1" t="s">
        <v>125</v>
      </c>
    </row>
    <row r="64">
      <c r="A64" s="20"/>
      <c r="B64" s="21" t="s">
        <v>128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B65" s="1" t="s">
        <v>131</v>
      </c>
    </row>
    <row r="67">
      <c r="A67" s="20"/>
      <c r="B67" s="21" t="s">
        <v>132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B68" s="1" t="s">
        <v>136</v>
      </c>
    </row>
    <row r="70">
      <c r="A70" s="20"/>
      <c r="B70" s="21" t="s">
        <v>139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B71" s="1" t="s">
        <v>142</v>
      </c>
    </row>
    <row r="73">
      <c r="A73" s="20"/>
      <c r="B73" s="21" t="s">
        <v>143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B74" s="1" t="s">
        <v>145</v>
      </c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1" t="s">
        <v>147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B77" s="1" t="s">
        <v>149</v>
      </c>
    </row>
    <row r="79">
      <c r="A79" s="20"/>
      <c r="B79" s="21" t="s">
        <v>150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B80" s="1" t="s">
        <v>151</v>
      </c>
    </row>
    <row r="82">
      <c r="A82" s="20"/>
      <c r="B82" s="21" t="s">
        <v>152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B83" s="1" t="s">
        <v>153</v>
      </c>
    </row>
    <row r="85">
      <c r="A85" s="20"/>
      <c r="B85" s="21" t="s">
        <v>154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B86" s="1" t="s">
        <v>156</v>
      </c>
    </row>
    <row r="88">
      <c r="A88" s="20"/>
      <c r="B88" s="21" t="s">
        <v>159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B89" s="1" t="s">
        <v>160</v>
      </c>
    </row>
    <row r="91">
      <c r="A91" s="20"/>
      <c r="B91" s="21" t="s">
        <v>161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B92" s="1" t="s">
        <v>162</v>
      </c>
    </row>
    <row r="94">
      <c r="A94" s="20"/>
      <c r="B94" s="21" t="s">
        <v>163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B95" s="1" t="s">
        <v>165</v>
      </c>
    </row>
    <row r="97">
      <c r="A97" s="20"/>
      <c r="B97" s="21" t="s">
        <v>166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B98" s="1" t="s">
        <v>168</v>
      </c>
    </row>
    <row r="100">
      <c r="A100" s="20"/>
      <c r="B100" s="21" t="s">
        <v>169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B101" s="1" t="s">
        <v>170</v>
      </c>
    </row>
    <row r="103">
      <c r="A103" s="20"/>
      <c r="B103" s="21" t="s">
        <v>171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B104" s="1" t="s">
        <v>172</v>
      </c>
    </row>
    <row r="106">
      <c r="A106" s="20"/>
      <c r="B106" s="21" t="s">
        <v>174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B107" s="1" t="s">
        <v>175</v>
      </c>
    </row>
    <row r="109">
      <c r="A109" s="20"/>
      <c r="B109" s="21" t="s">
        <v>176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B110" s="1" t="s">
        <v>177</v>
      </c>
    </row>
    <row r="112">
      <c r="A112" s="20"/>
      <c r="B112" s="21" t="s">
        <v>178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B113" s="1" t="s">
        <v>180</v>
      </c>
    </row>
    <row r="115">
      <c r="A115" s="20"/>
      <c r="B115" s="21" t="s">
        <v>181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B116" s="1" t="s">
        <v>182</v>
      </c>
    </row>
    <row r="118">
      <c r="A118" s="20"/>
      <c r="B118" s="21" t="s">
        <v>183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B119" s="1" t="s">
        <v>184</v>
      </c>
    </row>
    <row r="121">
      <c r="A121" s="20"/>
      <c r="B121" s="21" t="s">
        <v>185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B122" s="1" t="s">
        <v>187</v>
      </c>
    </row>
    <row r="124">
      <c r="A124" s="20"/>
      <c r="B124" s="21" t="s">
        <v>188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B125" s="1" t="s">
        <v>189</v>
      </c>
    </row>
    <row r="127">
      <c r="A127" s="20"/>
      <c r="B127" s="21" t="s">
        <v>190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B128" s="1" t="s">
        <v>191</v>
      </c>
    </row>
    <row r="130">
      <c r="A130" s="20"/>
      <c r="B130" s="21" t="s">
        <v>192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B131" s="1" t="s">
        <v>194</v>
      </c>
    </row>
    <row r="133">
      <c r="A133" s="20"/>
      <c r="B133" s="21" t="s">
        <v>195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B134" s="1" t="s">
        <v>196</v>
      </c>
    </row>
    <row r="136">
      <c r="A136" s="20"/>
      <c r="B136" s="21" t="s">
        <v>197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B137" s="1" t="s">
        <v>198</v>
      </c>
    </row>
    <row r="139">
      <c r="A139" s="20"/>
      <c r="B139" s="21" t="s">
        <v>199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B140" s="1" t="s">
        <v>204</v>
      </c>
    </row>
    <row r="142">
      <c r="A142" s="20"/>
      <c r="B142" s="21" t="s">
        <v>205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B143" s="1" t="s">
        <v>208</v>
      </c>
    </row>
    <row r="145">
      <c r="A145" s="20"/>
      <c r="B145" s="21" t="s">
        <v>210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B146" s="1" t="s">
        <v>213</v>
      </c>
    </row>
    <row r="148">
      <c r="A148" s="20"/>
      <c r="B148" s="21" t="s">
        <v>214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B149" s="1" t="s">
        <v>217</v>
      </c>
    </row>
    <row r="151">
      <c r="A151" s="20"/>
      <c r="B151" s="21" t="s">
        <v>218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B152" s="1" t="s">
        <v>219</v>
      </c>
    </row>
    <row r="154">
      <c r="A154" s="20"/>
      <c r="B154" s="21" t="s">
        <v>220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B155" s="1" t="s">
        <v>221</v>
      </c>
    </row>
    <row r="157">
      <c r="A157" s="20"/>
      <c r="B157" s="21" t="s">
        <v>222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B158" s="1" t="s">
        <v>223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8.13"/>
    <col customWidth="1" min="5" max="5" width="28.88"/>
  </cols>
  <sheetData>
    <row r="1">
      <c r="A1" s="1" t="s">
        <v>76</v>
      </c>
      <c r="B1" s="15" t="s">
        <v>77</v>
      </c>
      <c r="C1" s="1" t="s">
        <v>50</v>
      </c>
    </row>
    <row r="2">
      <c r="E2" s="1" t="s">
        <v>85</v>
      </c>
    </row>
    <row r="3">
      <c r="E3" s="1" t="s">
        <v>87</v>
      </c>
    </row>
    <row r="4">
      <c r="E4" s="1" t="s">
        <v>88</v>
      </c>
    </row>
    <row r="5">
      <c r="E5" s="1" t="s">
        <v>89</v>
      </c>
    </row>
    <row r="6">
      <c r="E6" s="1" t="s">
        <v>91</v>
      </c>
    </row>
    <row r="8">
      <c r="B8" s="26" t="s">
        <v>92</v>
      </c>
    </row>
  </sheetData>
  <hyperlinks>
    <hyperlink r:id="rId1" ref="B1"/>
    <hyperlink r:id="rId2" ref="B8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88"/>
    <col customWidth="1" min="4" max="4" width="3.5"/>
    <col customWidth="1" min="5" max="5" width="17.25"/>
    <col customWidth="1" min="6" max="6" width="7.38"/>
    <col customWidth="1" min="7" max="7" width="4.63"/>
    <col customWidth="1" min="8" max="8" width="12.63"/>
    <col customWidth="1" min="9" max="9" width="10.13"/>
    <col customWidth="1" min="10" max="10" width="10.63"/>
    <col customWidth="1" min="11" max="11" width="7.38"/>
    <col customWidth="1" min="12" max="12" width="4.63"/>
    <col customWidth="1" min="13" max="13" width="10.13"/>
    <col customWidth="1" min="14" max="14" width="7.38"/>
    <col customWidth="1" min="15" max="15" width="4.63"/>
    <col customWidth="1" min="16" max="16" width="18.0"/>
    <col customWidth="1" min="17" max="17" width="7.38"/>
    <col customWidth="1" min="18" max="18" width="4.75"/>
    <col customWidth="1" min="19" max="19" width="18.0"/>
    <col customWidth="1" min="20" max="20" width="7.38"/>
    <col customWidth="1" min="21" max="21" width="4.75"/>
    <col customWidth="1" min="23" max="23" width="7.38"/>
    <col customWidth="1" min="24" max="24" width="4.63"/>
    <col customWidth="1" min="25" max="25" width="10.13"/>
    <col customWidth="1" min="26" max="27" width="7.38"/>
    <col customWidth="1" min="28" max="28" width="7.88"/>
    <col customWidth="1" min="29" max="31" width="11.38"/>
    <col customWidth="1" min="32" max="32" width="5.88"/>
    <col customWidth="1" min="33" max="33" width="10.63"/>
    <col customWidth="1" min="34" max="34" width="7.0"/>
    <col customWidth="1" min="35" max="35" width="12.88"/>
    <col customWidth="1" min="36" max="37" width="10.13"/>
    <col customWidth="1" min="38" max="38" width="5.88"/>
    <col customWidth="1" min="39" max="39" width="10.13"/>
  </cols>
  <sheetData>
    <row r="1">
      <c r="A1" s="22" t="s">
        <v>83</v>
      </c>
      <c r="B1" s="23" t="s">
        <v>86</v>
      </c>
      <c r="D1" s="24"/>
      <c r="E1" s="23" t="s">
        <v>94</v>
      </c>
      <c r="F1" s="23" t="s">
        <v>95</v>
      </c>
      <c r="G1" s="23"/>
      <c r="H1" s="23" t="s">
        <v>96</v>
      </c>
      <c r="I1" s="23" t="s">
        <v>95</v>
      </c>
      <c r="J1" s="23" t="s">
        <v>97</v>
      </c>
      <c r="K1" s="23" t="s">
        <v>95</v>
      </c>
      <c r="L1" s="23"/>
      <c r="M1" s="23" t="s">
        <v>99</v>
      </c>
      <c r="N1" s="23" t="s">
        <v>95</v>
      </c>
      <c r="O1" s="23"/>
      <c r="P1" s="23" t="s">
        <v>101</v>
      </c>
      <c r="Q1" s="23" t="s">
        <v>95</v>
      </c>
      <c r="R1" s="23"/>
      <c r="S1" s="23" t="s">
        <v>102</v>
      </c>
      <c r="T1" s="23" t="s">
        <v>95</v>
      </c>
      <c r="U1" s="23"/>
      <c r="V1" s="23" t="s">
        <v>103</v>
      </c>
      <c r="W1" s="23" t="s">
        <v>95</v>
      </c>
      <c r="X1" s="23"/>
      <c r="Y1" s="23" t="s">
        <v>104</v>
      </c>
      <c r="Z1" s="23" t="s">
        <v>95</v>
      </c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>
      <c r="A2" s="1" t="s">
        <v>107</v>
      </c>
      <c r="B2" s="15" t="s">
        <v>108</v>
      </c>
      <c r="D2" s="24"/>
      <c r="E2" s="27" t="s">
        <v>107</v>
      </c>
      <c r="F2" s="27" t="s">
        <v>116</v>
      </c>
      <c r="G2" s="27"/>
      <c r="H2" s="27" t="s">
        <v>118</v>
      </c>
      <c r="I2" s="27" t="s">
        <v>116</v>
      </c>
      <c r="J2" s="27" t="s">
        <v>119</v>
      </c>
      <c r="K2" s="27" t="s">
        <v>116</v>
      </c>
      <c r="L2" s="27"/>
      <c r="M2" s="27" t="s">
        <v>119</v>
      </c>
      <c r="N2" s="27" t="s">
        <v>116</v>
      </c>
      <c r="O2" s="27"/>
      <c r="P2" s="27" t="s">
        <v>120</v>
      </c>
      <c r="Q2" s="27" t="s">
        <v>116</v>
      </c>
      <c r="R2" s="27"/>
      <c r="S2" s="27" t="s">
        <v>121</v>
      </c>
      <c r="T2" s="27" t="s">
        <v>116</v>
      </c>
      <c r="U2" s="27"/>
      <c r="V2" s="27" t="s">
        <v>120</v>
      </c>
      <c r="W2" s="27" t="s">
        <v>116</v>
      </c>
      <c r="X2" s="27"/>
      <c r="Y2" s="27" t="s">
        <v>120</v>
      </c>
      <c r="Z2" s="27" t="s">
        <v>116</v>
      </c>
      <c r="AA2" s="1"/>
      <c r="AB2" s="27"/>
    </row>
    <row r="3">
      <c r="A3" s="1" t="s">
        <v>118</v>
      </c>
      <c r="B3" s="15" t="s">
        <v>108</v>
      </c>
      <c r="D3" s="24"/>
      <c r="E3" s="27" t="s">
        <v>124</v>
      </c>
      <c r="F3" s="27" t="s">
        <v>116</v>
      </c>
      <c r="G3" s="27"/>
      <c r="H3" s="27" t="s">
        <v>124</v>
      </c>
      <c r="I3" s="27" t="s">
        <v>116</v>
      </c>
      <c r="J3" s="27" t="s">
        <v>124</v>
      </c>
      <c r="K3" s="27" t="s">
        <v>116</v>
      </c>
      <c r="L3" s="27"/>
      <c r="M3" s="27" t="s">
        <v>124</v>
      </c>
      <c r="N3" s="27" t="s">
        <v>116</v>
      </c>
      <c r="O3" s="27"/>
      <c r="P3" s="27" t="s">
        <v>124</v>
      </c>
      <c r="Q3" s="27" t="s">
        <v>116</v>
      </c>
      <c r="R3" s="27"/>
      <c r="S3" s="27" t="s">
        <v>124</v>
      </c>
      <c r="T3" s="27" t="s">
        <v>116</v>
      </c>
      <c r="U3" s="27"/>
      <c r="V3" s="27" t="s">
        <v>124</v>
      </c>
      <c r="W3" s="27" t="s">
        <v>116</v>
      </c>
      <c r="X3" s="27"/>
      <c r="Y3" s="27" t="s">
        <v>126</v>
      </c>
      <c r="Z3" s="27" t="s">
        <v>127</v>
      </c>
      <c r="AA3" s="1"/>
      <c r="AB3" s="27"/>
    </row>
    <row r="4">
      <c r="A4" s="1" t="s">
        <v>119</v>
      </c>
      <c r="B4" s="15" t="s">
        <v>108</v>
      </c>
      <c r="D4" s="24"/>
      <c r="E4" s="1" t="s">
        <v>129</v>
      </c>
      <c r="F4" s="27" t="s">
        <v>116</v>
      </c>
      <c r="G4" s="27"/>
      <c r="H4" s="27" t="s">
        <v>130</v>
      </c>
      <c r="I4" s="27" t="s">
        <v>116</v>
      </c>
      <c r="J4" s="27" t="s">
        <v>130</v>
      </c>
      <c r="K4" s="27" t="s">
        <v>116</v>
      </c>
      <c r="L4" s="27"/>
      <c r="M4" s="27" t="s">
        <v>130</v>
      </c>
      <c r="N4" s="27" t="s">
        <v>116</v>
      </c>
      <c r="O4" s="27"/>
      <c r="P4" s="27" t="s">
        <v>129</v>
      </c>
      <c r="Q4" s="27" t="s">
        <v>116</v>
      </c>
      <c r="R4" s="27"/>
      <c r="S4" s="27" t="s">
        <v>130</v>
      </c>
      <c r="T4" s="27" t="s">
        <v>116</v>
      </c>
      <c r="U4" s="27"/>
      <c r="V4" s="27" t="s">
        <v>130</v>
      </c>
      <c r="W4" s="27" t="s">
        <v>116</v>
      </c>
      <c r="X4" s="27"/>
      <c r="Y4" s="27"/>
      <c r="AA4" s="27"/>
      <c r="AB4" s="1"/>
      <c r="AC4" s="27"/>
    </row>
    <row r="5">
      <c r="A5" s="1" t="s">
        <v>120</v>
      </c>
      <c r="B5" s="15" t="s">
        <v>108</v>
      </c>
      <c r="D5" s="24"/>
      <c r="E5" s="27" t="s">
        <v>137</v>
      </c>
      <c r="F5" s="27" t="s">
        <v>116</v>
      </c>
      <c r="G5" s="27"/>
      <c r="H5" s="27" t="s">
        <v>138</v>
      </c>
      <c r="I5" s="27" t="s">
        <v>116</v>
      </c>
      <c r="J5" s="27" t="s">
        <v>126</v>
      </c>
      <c r="K5" s="27" t="s">
        <v>116</v>
      </c>
      <c r="L5" s="27"/>
      <c r="M5" s="27" t="s">
        <v>126</v>
      </c>
      <c r="N5" s="27" t="s">
        <v>116</v>
      </c>
      <c r="O5" s="27"/>
      <c r="P5" s="27" t="s">
        <v>140</v>
      </c>
      <c r="Q5" s="27" t="s">
        <v>116</v>
      </c>
      <c r="R5" s="27"/>
      <c r="S5" s="27" t="s">
        <v>126</v>
      </c>
      <c r="T5" s="27" t="s">
        <v>116</v>
      </c>
      <c r="U5" s="27"/>
      <c r="V5" s="27" t="s">
        <v>126</v>
      </c>
      <c r="W5" s="27" t="s">
        <v>116</v>
      </c>
      <c r="X5" s="27"/>
      <c r="Y5" s="27"/>
      <c r="AA5" s="27"/>
      <c r="AB5" s="1"/>
      <c r="AC5" s="27"/>
    </row>
    <row r="6">
      <c r="A6" s="1" t="s">
        <v>121</v>
      </c>
      <c r="B6" s="15" t="s">
        <v>108</v>
      </c>
      <c r="D6" s="24"/>
      <c r="E6" s="27" t="s">
        <v>124</v>
      </c>
      <c r="F6" s="27" t="s">
        <v>116</v>
      </c>
      <c r="G6" s="27"/>
      <c r="H6" s="27" t="s">
        <v>144</v>
      </c>
      <c r="I6" s="27" t="s">
        <v>116</v>
      </c>
      <c r="J6" s="27" t="s">
        <v>144</v>
      </c>
      <c r="K6" s="27" t="s">
        <v>116</v>
      </c>
      <c r="L6" s="27"/>
      <c r="M6" s="27" t="s">
        <v>144</v>
      </c>
      <c r="N6" s="27" t="s">
        <v>116</v>
      </c>
      <c r="O6" s="27"/>
      <c r="P6" s="27" t="s">
        <v>130</v>
      </c>
      <c r="Q6" s="27" t="s">
        <v>116</v>
      </c>
      <c r="R6" s="27"/>
      <c r="S6" s="27" t="s">
        <v>144</v>
      </c>
      <c r="T6" s="27" t="s">
        <v>116</v>
      </c>
      <c r="U6" s="27"/>
      <c r="V6" s="27" t="s">
        <v>144</v>
      </c>
      <c r="W6" s="27" t="s">
        <v>116</v>
      </c>
      <c r="X6" s="27"/>
      <c r="Y6" s="27"/>
      <c r="AA6" s="27"/>
      <c r="AB6" s="1"/>
      <c r="AC6" s="27"/>
    </row>
    <row r="7">
      <c r="A7" s="1" t="s">
        <v>124</v>
      </c>
      <c r="B7" s="15" t="s">
        <v>146</v>
      </c>
      <c r="D7" s="24"/>
      <c r="E7" s="27" t="s">
        <v>130</v>
      </c>
      <c r="F7" s="27" t="s">
        <v>116</v>
      </c>
      <c r="G7" s="27"/>
      <c r="H7" s="27" t="s">
        <v>130</v>
      </c>
      <c r="I7" s="27" t="s">
        <v>116</v>
      </c>
      <c r="J7" s="27" t="s">
        <v>130</v>
      </c>
      <c r="K7" s="27" t="s">
        <v>116</v>
      </c>
      <c r="L7" s="27"/>
      <c r="M7" s="27" t="s">
        <v>130</v>
      </c>
      <c r="N7" s="27" t="s">
        <v>116</v>
      </c>
      <c r="O7" s="27"/>
      <c r="P7" s="27" t="s">
        <v>126</v>
      </c>
      <c r="Q7" s="27" t="s">
        <v>116</v>
      </c>
      <c r="R7" s="27"/>
      <c r="S7" s="27" t="s">
        <v>130</v>
      </c>
      <c r="T7" s="27" t="s">
        <v>116</v>
      </c>
      <c r="U7" s="27"/>
      <c r="V7" s="27" t="s">
        <v>130</v>
      </c>
      <c r="W7" s="27" t="s">
        <v>116</v>
      </c>
      <c r="X7" s="27"/>
      <c r="Y7" s="27"/>
      <c r="AA7" s="27"/>
      <c r="AB7" s="1"/>
      <c r="AC7" s="27"/>
    </row>
    <row r="8">
      <c r="A8" s="1" t="s">
        <v>130</v>
      </c>
      <c r="B8" s="15" t="s">
        <v>148</v>
      </c>
      <c r="D8" s="24"/>
      <c r="E8" s="27" t="s">
        <v>138</v>
      </c>
      <c r="F8" s="27" t="s">
        <v>116</v>
      </c>
      <c r="G8" s="27"/>
      <c r="H8" s="27" t="s">
        <v>155</v>
      </c>
      <c r="I8" s="27" t="s">
        <v>116</v>
      </c>
      <c r="J8" s="27" t="s">
        <v>155</v>
      </c>
      <c r="K8" s="27" t="s">
        <v>116</v>
      </c>
      <c r="L8" s="27"/>
      <c r="M8" s="27" t="s">
        <v>155</v>
      </c>
      <c r="N8" s="27" t="s">
        <v>116</v>
      </c>
      <c r="O8" s="27"/>
      <c r="P8" s="27" t="s">
        <v>144</v>
      </c>
      <c r="Q8" s="27" t="s">
        <v>116</v>
      </c>
      <c r="R8" s="27"/>
      <c r="S8" s="27" t="s">
        <v>155</v>
      </c>
      <c r="T8" s="27" t="s">
        <v>116</v>
      </c>
      <c r="U8" s="27"/>
      <c r="V8" s="27" t="s">
        <v>155</v>
      </c>
      <c r="W8" s="27" t="s">
        <v>116</v>
      </c>
      <c r="X8" s="27"/>
      <c r="Y8" s="27"/>
      <c r="AA8" s="27"/>
      <c r="AC8" s="27"/>
    </row>
    <row r="9">
      <c r="A9" s="1" t="s">
        <v>138</v>
      </c>
      <c r="B9" s="15" t="s">
        <v>158</v>
      </c>
      <c r="D9" s="24"/>
      <c r="E9" s="27" t="s">
        <v>164</v>
      </c>
      <c r="F9" s="27" t="s">
        <v>116</v>
      </c>
      <c r="G9" s="27"/>
      <c r="J9" s="27"/>
      <c r="K9" s="27"/>
      <c r="L9" s="27"/>
      <c r="M9" s="27"/>
      <c r="N9" s="27"/>
      <c r="O9" s="27"/>
      <c r="P9" s="27" t="s">
        <v>130</v>
      </c>
      <c r="Q9" s="27" t="s">
        <v>116</v>
      </c>
      <c r="R9" s="27"/>
      <c r="U9" s="27"/>
      <c r="V9" s="27"/>
      <c r="W9" s="27"/>
      <c r="Y9" s="27"/>
      <c r="AA9" s="27"/>
      <c r="AC9" s="27"/>
    </row>
    <row r="10">
      <c r="A10" s="1" t="s">
        <v>126</v>
      </c>
      <c r="B10" s="26" t="s">
        <v>167</v>
      </c>
      <c r="D10" s="24"/>
      <c r="E10" s="27" t="s">
        <v>130</v>
      </c>
      <c r="F10" s="27" t="s">
        <v>116</v>
      </c>
      <c r="P10" s="27" t="s">
        <v>155</v>
      </c>
      <c r="Q10" s="27" t="s">
        <v>116</v>
      </c>
      <c r="AC10" s="27"/>
    </row>
    <row r="11">
      <c r="A11" s="1" t="s">
        <v>144</v>
      </c>
      <c r="B11" s="26" t="s">
        <v>173</v>
      </c>
      <c r="D11" s="24"/>
      <c r="E11" s="27" t="s">
        <v>155</v>
      </c>
      <c r="F11" s="27" t="s">
        <v>116</v>
      </c>
    </row>
    <row r="12">
      <c r="A12" s="1" t="s">
        <v>155</v>
      </c>
      <c r="B12" s="26" t="s">
        <v>179</v>
      </c>
      <c r="D12" s="24"/>
    </row>
    <row r="13">
      <c r="A13" s="1" t="s">
        <v>129</v>
      </c>
      <c r="B13" s="15" t="s">
        <v>186</v>
      </c>
      <c r="D13" s="28"/>
    </row>
    <row r="14">
      <c r="A14" s="1" t="s">
        <v>137</v>
      </c>
      <c r="B14" s="15" t="s">
        <v>193</v>
      </c>
      <c r="D14" s="24"/>
    </row>
    <row r="15">
      <c r="A15" s="1" t="s">
        <v>140</v>
      </c>
      <c r="B15" s="15" t="s">
        <v>200</v>
      </c>
      <c r="D15" s="24"/>
      <c r="E15" s="1" t="s">
        <v>201</v>
      </c>
      <c r="F15" s="1" t="s">
        <v>127</v>
      </c>
      <c r="G15" s="1" t="s">
        <v>202</v>
      </c>
      <c r="P15" s="27"/>
      <c r="Q15" s="27"/>
    </row>
    <row r="16">
      <c r="A16" s="1" t="s">
        <v>203</v>
      </c>
      <c r="B16" s="26" t="s">
        <v>179</v>
      </c>
      <c r="D16" s="24"/>
      <c r="E16" s="1"/>
      <c r="F16" s="1"/>
      <c r="G16" s="1" t="s">
        <v>206</v>
      </c>
      <c r="I16" s="1"/>
      <c r="P16" s="27"/>
      <c r="Q16" s="27"/>
    </row>
    <row r="17">
      <c r="D17" s="24"/>
      <c r="E17" s="1"/>
      <c r="F17" s="1"/>
      <c r="G17" s="1" t="s">
        <v>207</v>
      </c>
      <c r="P17" s="27"/>
      <c r="Q17" s="27"/>
    </row>
    <row r="18">
      <c r="D18" s="28"/>
      <c r="E18" s="1"/>
      <c r="F18" s="1"/>
      <c r="G18" s="1" t="s">
        <v>209</v>
      </c>
      <c r="I18" s="1"/>
      <c r="P18" s="27"/>
      <c r="Q18" s="27"/>
    </row>
    <row r="19">
      <c r="D19" s="28"/>
      <c r="E19" s="1"/>
      <c r="F19" s="1"/>
      <c r="G19" s="1" t="s">
        <v>211</v>
      </c>
      <c r="P19" s="27"/>
      <c r="Q19" s="27"/>
    </row>
    <row r="20">
      <c r="D20" s="28"/>
      <c r="E20" s="1"/>
      <c r="F20" s="1"/>
      <c r="G20" s="1" t="s">
        <v>212</v>
      </c>
      <c r="P20" s="27"/>
      <c r="Q20" s="27"/>
    </row>
    <row r="21">
      <c r="D21" s="28"/>
      <c r="E21" s="1"/>
      <c r="F21" s="1"/>
      <c r="G21" s="1"/>
      <c r="P21" s="27"/>
      <c r="Q21" s="27"/>
    </row>
    <row r="22">
      <c r="D22" s="28"/>
      <c r="E22" s="1" t="s">
        <v>215</v>
      </c>
      <c r="F22" s="1" t="s">
        <v>116</v>
      </c>
      <c r="G22" s="1" t="s">
        <v>216</v>
      </c>
      <c r="P22" s="27"/>
      <c r="Q22" s="27"/>
    </row>
    <row r="23">
      <c r="D23" s="28"/>
      <c r="P23" s="27"/>
      <c r="Q23" s="27"/>
    </row>
    <row r="24">
      <c r="D24" s="28"/>
      <c r="P24" s="27"/>
      <c r="Q24" s="27"/>
    </row>
    <row r="25">
      <c r="D25" s="28"/>
      <c r="P25" s="27"/>
      <c r="Q25" s="27"/>
    </row>
    <row r="26">
      <c r="D26" s="28"/>
      <c r="P26" s="27"/>
      <c r="Q26" s="27"/>
    </row>
    <row r="27">
      <c r="D27" s="28"/>
      <c r="P27" s="27"/>
      <c r="Q27" s="27"/>
    </row>
    <row r="28">
      <c r="D28" s="28"/>
      <c r="P28" s="27"/>
      <c r="Q28" s="27"/>
    </row>
    <row r="29">
      <c r="D29" s="28"/>
      <c r="P29" s="27"/>
      <c r="Q29" s="27"/>
    </row>
    <row r="30">
      <c r="D30" s="28"/>
      <c r="P30" s="27"/>
      <c r="Q30" s="27"/>
    </row>
    <row r="31">
      <c r="D31" s="28"/>
      <c r="E31" s="16"/>
      <c r="P31" s="27"/>
      <c r="Q31" s="27"/>
    </row>
    <row r="32">
      <c r="D32" s="28"/>
      <c r="P32" s="27"/>
      <c r="Q32" s="27"/>
    </row>
    <row r="33">
      <c r="D33" s="28"/>
      <c r="P33" s="27"/>
      <c r="Q33" s="27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  <row r="1001">
      <c r="D1001" s="28"/>
    </row>
    <row r="1002">
      <c r="D1002" s="28"/>
    </row>
    <row r="1003">
      <c r="D1003" s="28"/>
    </row>
    <row r="1004">
      <c r="D1004" s="2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88"/>
    <col customWidth="1" min="4" max="4" width="3.5"/>
    <col customWidth="1" min="6" max="6" width="5.88"/>
    <col customWidth="1" min="7" max="7" width="7.38"/>
    <col customWidth="1" min="8" max="8" width="4.63"/>
    <col customWidth="1" min="9" max="9" width="10.13"/>
    <col customWidth="1" min="10" max="11" width="7.38"/>
    <col customWidth="1" min="12" max="12" width="4.63"/>
    <col customWidth="1" min="13" max="13" width="10.13"/>
    <col customWidth="1" min="14" max="14" width="5.88"/>
    <col customWidth="1" min="15" max="15" width="7.38"/>
    <col customWidth="1" min="16" max="16" width="4.63"/>
    <col customWidth="1" min="18" max="18" width="5.88"/>
    <col customWidth="1" min="19" max="19" width="7.38"/>
    <col customWidth="1" min="20" max="20" width="4.75"/>
    <col customWidth="1" min="22" max="22" width="5.88"/>
    <col customWidth="1" min="23" max="23" width="7.38"/>
    <col customWidth="1" min="24" max="24" width="4.63"/>
    <col customWidth="1" min="25" max="25" width="10.13"/>
    <col customWidth="1" min="26" max="26" width="5.88"/>
    <col customWidth="1" min="27" max="27" width="7.38"/>
    <col customWidth="1" min="28" max="28" width="7.88"/>
    <col customWidth="1" min="29" max="31" width="11.38"/>
    <col customWidth="1" min="32" max="32" width="5.88"/>
    <col customWidth="1" min="33" max="33" width="10.63"/>
    <col customWidth="1" min="34" max="34" width="7.0"/>
    <col customWidth="1" min="35" max="35" width="12.88"/>
    <col customWidth="1" min="36" max="37" width="10.13"/>
    <col customWidth="1" min="38" max="38" width="5.88"/>
    <col customWidth="1" min="39" max="39" width="10.13"/>
  </cols>
  <sheetData>
    <row r="1">
      <c r="A1" s="22" t="s">
        <v>83</v>
      </c>
      <c r="B1" s="23" t="s">
        <v>86</v>
      </c>
      <c r="D1" s="23" t="s">
        <v>133</v>
      </c>
      <c r="E1" s="23" t="s">
        <v>134</v>
      </c>
      <c r="F1" s="23" t="s">
        <v>135</v>
      </c>
      <c r="G1" s="23" t="s">
        <v>95</v>
      </c>
      <c r="H1" s="23"/>
      <c r="I1" s="23" t="s">
        <v>97</v>
      </c>
      <c r="J1" s="23" t="s">
        <v>135</v>
      </c>
      <c r="K1" s="23" t="s">
        <v>95</v>
      </c>
      <c r="L1" s="23"/>
      <c r="M1" s="23" t="s">
        <v>99</v>
      </c>
      <c r="N1" s="23" t="s">
        <v>135</v>
      </c>
      <c r="O1" s="23" t="s">
        <v>95</v>
      </c>
      <c r="P1" s="23"/>
      <c r="Q1" s="23" t="s">
        <v>141</v>
      </c>
      <c r="R1" s="23" t="s">
        <v>135</v>
      </c>
      <c r="S1" s="23" t="s">
        <v>95</v>
      </c>
      <c r="T1" s="23"/>
      <c r="U1" s="23" t="s">
        <v>103</v>
      </c>
      <c r="V1" s="23" t="s">
        <v>135</v>
      </c>
      <c r="W1" s="23" t="s">
        <v>95</v>
      </c>
      <c r="X1" s="23"/>
      <c r="Y1" s="23" t="s">
        <v>104</v>
      </c>
      <c r="Z1" s="23" t="s">
        <v>135</v>
      </c>
      <c r="AA1" s="23" t="s">
        <v>95</v>
      </c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</row>
    <row r="2">
      <c r="A2" s="1" t="s">
        <v>107</v>
      </c>
      <c r="B2" s="15" t="s">
        <v>108</v>
      </c>
      <c r="D2" s="24">
        <v>1.0</v>
      </c>
      <c r="E2" s="27" t="s">
        <v>107</v>
      </c>
      <c r="F2" s="1">
        <v>1708.0</v>
      </c>
      <c r="G2" s="27" t="s">
        <v>116</v>
      </c>
      <c r="H2" s="27"/>
      <c r="I2" s="27" t="s">
        <v>118</v>
      </c>
      <c r="J2" s="1">
        <v>1708.0</v>
      </c>
      <c r="K2" s="27" t="s">
        <v>116</v>
      </c>
      <c r="L2" s="27"/>
      <c r="M2" s="27" t="s">
        <v>119</v>
      </c>
      <c r="N2" s="1">
        <v>1708.0</v>
      </c>
      <c r="O2" s="27" t="s">
        <v>116</v>
      </c>
      <c r="P2" s="27"/>
      <c r="Q2" s="27" t="s">
        <v>121</v>
      </c>
      <c r="R2" s="1">
        <v>1708.0</v>
      </c>
      <c r="S2" s="27" t="s">
        <v>116</v>
      </c>
      <c r="T2" s="27"/>
      <c r="U2" s="27" t="s">
        <v>120</v>
      </c>
      <c r="V2" s="1">
        <v>0.0</v>
      </c>
      <c r="W2" s="27" t="s">
        <v>116</v>
      </c>
      <c r="X2" s="27"/>
      <c r="Y2" s="27" t="s">
        <v>120</v>
      </c>
      <c r="Z2" s="1">
        <v>1708.0</v>
      </c>
      <c r="AA2" s="27" t="s">
        <v>116</v>
      </c>
      <c r="AB2" s="1"/>
      <c r="AC2" s="27"/>
    </row>
    <row r="3">
      <c r="A3" s="1" t="s">
        <v>118</v>
      </c>
      <c r="B3" s="15" t="s">
        <v>108</v>
      </c>
      <c r="D3" s="24">
        <v>2.0</v>
      </c>
      <c r="E3" s="27" t="s">
        <v>157</v>
      </c>
      <c r="F3" s="1">
        <v>3.0</v>
      </c>
      <c r="G3" s="27"/>
      <c r="H3" s="27"/>
      <c r="I3" s="27" t="s">
        <v>157</v>
      </c>
      <c r="J3" s="1">
        <v>3.0</v>
      </c>
      <c r="K3" s="27"/>
      <c r="L3" s="27"/>
      <c r="M3" s="27" t="s">
        <v>157</v>
      </c>
      <c r="N3" s="1">
        <v>3.0</v>
      </c>
      <c r="O3" s="27"/>
      <c r="P3" s="27"/>
      <c r="Q3" s="27" t="s">
        <v>157</v>
      </c>
      <c r="R3" s="1">
        <v>0.0</v>
      </c>
      <c r="S3" s="27"/>
      <c r="T3" s="27"/>
      <c r="U3" s="27" t="s">
        <v>157</v>
      </c>
      <c r="V3" s="1">
        <v>0.0</v>
      </c>
      <c r="W3" s="27"/>
      <c r="X3" s="27"/>
      <c r="Y3" s="27" t="s">
        <v>157</v>
      </c>
      <c r="Z3" s="1">
        <v>3.0</v>
      </c>
      <c r="AA3" s="27"/>
      <c r="AB3" s="1"/>
      <c r="AC3" s="27"/>
    </row>
    <row r="4">
      <c r="A4" s="1" t="s">
        <v>119</v>
      </c>
      <c r="B4" s="15" t="s">
        <v>108</v>
      </c>
      <c r="D4" s="24">
        <v>3.0</v>
      </c>
      <c r="E4" s="27" t="s">
        <v>124</v>
      </c>
      <c r="F4" s="1">
        <v>315.0</v>
      </c>
      <c r="G4" s="27" t="s">
        <v>116</v>
      </c>
      <c r="H4" s="27"/>
      <c r="I4" s="27" t="s">
        <v>124</v>
      </c>
      <c r="J4" s="1">
        <v>315.0</v>
      </c>
      <c r="K4" s="27" t="s">
        <v>116</v>
      </c>
      <c r="L4" s="27"/>
      <c r="M4" s="27" t="s">
        <v>124</v>
      </c>
      <c r="N4" s="1">
        <v>315.0</v>
      </c>
      <c r="O4" s="27" t="s">
        <v>116</v>
      </c>
      <c r="P4" s="27"/>
      <c r="Q4" s="27" t="s">
        <v>124</v>
      </c>
      <c r="R4" s="1">
        <v>315.0</v>
      </c>
      <c r="S4" s="27" t="s">
        <v>116</v>
      </c>
      <c r="T4" s="27"/>
      <c r="U4" s="27" t="s">
        <v>124</v>
      </c>
      <c r="V4" s="1">
        <v>315.0</v>
      </c>
      <c r="W4" s="27" t="s">
        <v>116</v>
      </c>
      <c r="X4" s="27"/>
      <c r="Y4" s="27" t="s">
        <v>126</v>
      </c>
      <c r="Z4" s="1">
        <v>203.0</v>
      </c>
      <c r="AA4" s="27" t="s">
        <v>127</v>
      </c>
      <c r="AB4" s="1"/>
      <c r="AC4" s="27"/>
    </row>
    <row r="5">
      <c r="A5" s="1" t="s">
        <v>120</v>
      </c>
      <c r="B5" s="15" t="s">
        <v>108</v>
      </c>
      <c r="D5" s="24">
        <v>4.0</v>
      </c>
      <c r="E5" s="27" t="s">
        <v>157</v>
      </c>
      <c r="F5" s="1">
        <v>3.0</v>
      </c>
      <c r="G5" s="27"/>
      <c r="H5" s="27"/>
      <c r="I5" s="27" t="s">
        <v>157</v>
      </c>
      <c r="J5" s="1">
        <v>0.0</v>
      </c>
      <c r="K5" s="27"/>
      <c r="L5" s="27"/>
      <c r="M5" s="27" t="s">
        <v>157</v>
      </c>
      <c r="N5" s="1">
        <v>0.0</v>
      </c>
      <c r="O5" s="27"/>
      <c r="P5" s="27"/>
      <c r="Q5" s="27" t="s">
        <v>157</v>
      </c>
      <c r="R5" s="1">
        <v>3.0</v>
      </c>
      <c r="S5" s="27"/>
      <c r="T5" s="27"/>
      <c r="U5" s="27" t="s">
        <v>157</v>
      </c>
      <c r="V5" s="1">
        <v>0.0</v>
      </c>
      <c r="W5" s="27"/>
      <c r="X5" s="27"/>
      <c r="Y5" s="27"/>
      <c r="AA5" s="27"/>
      <c r="AB5" s="1"/>
      <c r="AC5" s="27"/>
    </row>
    <row r="6">
      <c r="A6" s="1" t="s">
        <v>121</v>
      </c>
      <c r="B6" s="15" t="s">
        <v>108</v>
      </c>
      <c r="D6" s="24">
        <v>5.0</v>
      </c>
      <c r="E6" s="27" t="s">
        <v>129</v>
      </c>
      <c r="F6" s="1">
        <v>52.0</v>
      </c>
      <c r="G6" s="27" t="s">
        <v>116</v>
      </c>
      <c r="H6" s="27"/>
      <c r="I6" s="27" t="s">
        <v>129</v>
      </c>
      <c r="J6" s="1">
        <v>0.0</v>
      </c>
      <c r="K6" s="27" t="s">
        <v>127</v>
      </c>
      <c r="L6" s="27"/>
      <c r="M6" s="27" t="s">
        <v>129</v>
      </c>
      <c r="N6" s="1">
        <v>0.0</v>
      </c>
      <c r="O6" s="27" t="s">
        <v>127</v>
      </c>
      <c r="P6" s="27"/>
      <c r="Q6" s="27" t="s">
        <v>124</v>
      </c>
      <c r="R6" s="1">
        <v>0.0</v>
      </c>
      <c r="S6" s="27" t="s">
        <v>116</v>
      </c>
      <c r="T6" s="27"/>
      <c r="U6" s="27" t="s">
        <v>129</v>
      </c>
      <c r="V6" s="1">
        <v>0.0</v>
      </c>
      <c r="W6" s="27" t="s">
        <v>127</v>
      </c>
      <c r="X6" s="27"/>
      <c r="Y6" s="27"/>
      <c r="AA6" s="27"/>
      <c r="AB6" s="1"/>
      <c r="AC6" s="27"/>
    </row>
    <row r="7">
      <c r="A7" s="1" t="s">
        <v>124</v>
      </c>
      <c r="B7" s="15" t="s">
        <v>146</v>
      </c>
      <c r="D7" s="24">
        <v>6.0</v>
      </c>
      <c r="E7" s="27" t="s">
        <v>157</v>
      </c>
      <c r="F7" s="1">
        <v>2.0</v>
      </c>
      <c r="G7" s="27"/>
      <c r="H7" s="27"/>
      <c r="I7" s="27" t="s">
        <v>157</v>
      </c>
      <c r="J7" s="1">
        <v>0.0</v>
      </c>
      <c r="K7" s="27"/>
      <c r="L7" s="27"/>
      <c r="M7" s="27" t="s">
        <v>157</v>
      </c>
      <c r="N7" s="1">
        <v>0.0</v>
      </c>
      <c r="O7" s="27"/>
      <c r="P7" s="27"/>
      <c r="Q7" s="27" t="s">
        <v>157</v>
      </c>
      <c r="R7" s="1">
        <v>3.0</v>
      </c>
      <c r="S7" s="27"/>
      <c r="T7" s="27"/>
      <c r="U7" s="27" t="s">
        <v>157</v>
      </c>
      <c r="V7" s="1">
        <v>0.0</v>
      </c>
      <c r="W7" s="27"/>
      <c r="X7" s="27"/>
      <c r="Y7" s="27"/>
      <c r="AA7" s="27"/>
      <c r="AB7" s="1"/>
      <c r="AC7" s="27"/>
    </row>
    <row r="8">
      <c r="A8" s="1" t="s">
        <v>130</v>
      </c>
      <c r="B8" s="15" t="s">
        <v>148</v>
      </c>
      <c r="D8" s="24">
        <v>7.0</v>
      </c>
      <c r="E8" s="27" t="s">
        <v>137</v>
      </c>
      <c r="F8" s="1">
        <v>10.0</v>
      </c>
      <c r="G8" s="27" t="s">
        <v>116</v>
      </c>
      <c r="H8" s="27"/>
      <c r="I8" s="27" t="s">
        <v>124</v>
      </c>
      <c r="J8" s="1">
        <v>0.0</v>
      </c>
      <c r="K8" s="27" t="s">
        <v>116</v>
      </c>
      <c r="L8" s="27"/>
      <c r="M8" s="27" t="s">
        <v>124</v>
      </c>
      <c r="N8" s="1">
        <v>0.0</v>
      </c>
      <c r="O8" s="27" t="s">
        <v>127</v>
      </c>
      <c r="P8" s="27"/>
      <c r="Q8" s="27" t="s">
        <v>129</v>
      </c>
      <c r="R8" s="1">
        <v>52.0</v>
      </c>
      <c r="S8" s="27" t="s">
        <v>116</v>
      </c>
      <c r="T8" s="27"/>
      <c r="U8" s="27" t="s">
        <v>124</v>
      </c>
      <c r="V8" s="1">
        <v>0.0</v>
      </c>
      <c r="W8" s="27" t="s">
        <v>116</v>
      </c>
      <c r="X8" s="27"/>
      <c r="Y8" s="27"/>
      <c r="AA8" s="27"/>
      <c r="AB8" s="1"/>
      <c r="AC8" s="27"/>
    </row>
    <row r="9">
      <c r="A9" s="1" t="s">
        <v>138</v>
      </c>
      <c r="B9" s="15" t="s">
        <v>158</v>
      </c>
      <c r="D9" s="24">
        <v>8.0</v>
      </c>
      <c r="E9" s="27" t="s">
        <v>157</v>
      </c>
      <c r="F9" s="1">
        <v>2.0</v>
      </c>
      <c r="G9" s="27"/>
      <c r="H9" s="27"/>
      <c r="I9" s="27" t="s">
        <v>157</v>
      </c>
      <c r="J9" s="1">
        <v>2.0</v>
      </c>
      <c r="K9" s="27"/>
      <c r="L9" s="27"/>
      <c r="M9" s="27" t="s">
        <v>157</v>
      </c>
      <c r="N9" s="1">
        <v>2.0</v>
      </c>
      <c r="O9" s="27"/>
      <c r="P9" s="27"/>
      <c r="Q9" s="27" t="s">
        <v>157</v>
      </c>
      <c r="R9" s="1">
        <v>3.0</v>
      </c>
      <c r="S9" s="27"/>
      <c r="T9" s="27"/>
      <c r="U9" s="27" t="s">
        <v>157</v>
      </c>
      <c r="V9" s="1">
        <v>2.0</v>
      </c>
      <c r="W9" s="27"/>
      <c r="X9" s="27"/>
      <c r="Y9" s="27"/>
      <c r="AA9" s="27"/>
      <c r="AB9" s="1"/>
      <c r="AC9" s="27"/>
    </row>
    <row r="10">
      <c r="A10" s="1" t="s">
        <v>126</v>
      </c>
      <c r="B10" s="26" t="s">
        <v>167</v>
      </c>
      <c r="D10" s="24">
        <v>9.0</v>
      </c>
      <c r="E10" s="27" t="s">
        <v>124</v>
      </c>
      <c r="F10" s="1">
        <v>537.0</v>
      </c>
      <c r="G10" s="27" t="s">
        <v>116</v>
      </c>
      <c r="H10" s="27"/>
      <c r="I10" s="27" t="s">
        <v>130</v>
      </c>
      <c r="J10" s="1">
        <v>3.0</v>
      </c>
      <c r="K10" s="27" t="s">
        <v>116</v>
      </c>
      <c r="L10" s="27"/>
      <c r="M10" s="27" t="s">
        <v>130</v>
      </c>
      <c r="N10" s="1">
        <v>3.0</v>
      </c>
      <c r="O10" s="27" t="s">
        <v>116</v>
      </c>
      <c r="P10" s="27"/>
      <c r="Q10" s="27" t="s">
        <v>140</v>
      </c>
      <c r="R10" s="1">
        <v>16.0</v>
      </c>
      <c r="S10" s="27" t="s">
        <v>116</v>
      </c>
      <c r="T10" s="27"/>
      <c r="U10" s="27" t="s">
        <v>130</v>
      </c>
      <c r="V10" s="1">
        <v>3.0</v>
      </c>
      <c r="W10" s="27" t="s">
        <v>116</v>
      </c>
      <c r="X10" s="27"/>
      <c r="Y10" s="27"/>
      <c r="AA10" s="27"/>
      <c r="AB10" s="1"/>
      <c r="AC10" s="27"/>
    </row>
    <row r="11">
      <c r="A11" s="1" t="s">
        <v>164</v>
      </c>
      <c r="B11" s="26" t="s">
        <v>173</v>
      </c>
      <c r="D11" s="24">
        <v>10.0</v>
      </c>
      <c r="E11" s="27" t="s">
        <v>157</v>
      </c>
      <c r="F11" s="1">
        <v>3.0</v>
      </c>
      <c r="G11" s="27"/>
      <c r="H11" s="27"/>
      <c r="I11" s="27" t="s">
        <v>157</v>
      </c>
      <c r="J11" s="1">
        <v>3.0</v>
      </c>
      <c r="K11" s="27"/>
      <c r="L11" s="27"/>
      <c r="M11" s="27" t="s">
        <v>157</v>
      </c>
      <c r="N11" s="1">
        <v>3.0</v>
      </c>
      <c r="O11" s="27"/>
      <c r="P11" s="27"/>
      <c r="Q11" s="27" t="s">
        <v>157</v>
      </c>
      <c r="R11" s="1">
        <v>1.0</v>
      </c>
      <c r="S11" s="27"/>
      <c r="T11" s="27"/>
      <c r="U11" s="27" t="s">
        <v>157</v>
      </c>
      <c r="V11" s="1">
        <v>3.0</v>
      </c>
      <c r="W11" s="27"/>
      <c r="X11" s="27"/>
      <c r="Y11" s="27"/>
      <c r="AA11" s="27"/>
      <c r="AB11" s="1"/>
      <c r="AC11" s="27"/>
    </row>
    <row r="12">
      <c r="A12" s="1" t="s">
        <v>155</v>
      </c>
      <c r="B12" s="26" t="s">
        <v>179</v>
      </c>
      <c r="D12" s="24">
        <v>11.0</v>
      </c>
      <c r="E12" s="27" t="s">
        <v>130</v>
      </c>
      <c r="F12" s="1">
        <v>3.0</v>
      </c>
      <c r="G12" s="27" t="s">
        <v>116</v>
      </c>
      <c r="H12" s="27"/>
      <c r="I12" s="27" t="s">
        <v>126</v>
      </c>
      <c r="J12" s="1">
        <v>203.0</v>
      </c>
      <c r="K12" s="27" t="s">
        <v>116</v>
      </c>
      <c r="L12" s="27"/>
      <c r="M12" s="27" t="s">
        <v>126</v>
      </c>
      <c r="N12" s="1">
        <v>203.0</v>
      </c>
      <c r="O12" s="27" t="s">
        <v>116</v>
      </c>
      <c r="P12" s="27"/>
      <c r="Q12" s="27" t="s">
        <v>130</v>
      </c>
      <c r="R12" s="1">
        <v>3.0</v>
      </c>
      <c r="S12" s="27" t="s">
        <v>116</v>
      </c>
      <c r="T12" s="27"/>
      <c r="U12" s="27" t="s">
        <v>126</v>
      </c>
      <c r="V12" s="1">
        <v>203.0</v>
      </c>
      <c r="W12" s="27" t="s">
        <v>116</v>
      </c>
      <c r="X12" s="27"/>
      <c r="Y12" s="27"/>
      <c r="AA12" s="27"/>
      <c r="AB12" s="1"/>
      <c r="AC12" s="27"/>
    </row>
    <row r="13">
      <c r="A13" s="1" t="s">
        <v>129</v>
      </c>
      <c r="B13" s="15" t="s">
        <v>186</v>
      </c>
      <c r="D13" s="24">
        <v>12.0</v>
      </c>
      <c r="E13" s="27" t="s">
        <v>157</v>
      </c>
      <c r="F13" s="1">
        <v>3.0</v>
      </c>
      <c r="G13" s="27"/>
      <c r="H13" s="27"/>
      <c r="I13" s="27" t="s">
        <v>157</v>
      </c>
      <c r="J13" s="1">
        <v>3.0</v>
      </c>
      <c r="K13" s="27"/>
      <c r="L13" s="27"/>
      <c r="M13" s="27" t="s">
        <v>157</v>
      </c>
      <c r="N13" s="1">
        <v>3.0</v>
      </c>
      <c r="O13" s="27"/>
      <c r="P13" s="27"/>
      <c r="Q13" s="27" t="s">
        <v>157</v>
      </c>
      <c r="R13" s="1">
        <v>1.0</v>
      </c>
      <c r="S13" s="27"/>
      <c r="T13" s="27"/>
      <c r="U13" s="27" t="s">
        <v>157</v>
      </c>
      <c r="V13" s="1">
        <v>3.0</v>
      </c>
      <c r="W13" s="27"/>
      <c r="X13" s="27"/>
      <c r="Y13" s="27"/>
      <c r="AA13" s="27"/>
      <c r="AB13" s="1"/>
      <c r="AC13" s="27"/>
    </row>
    <row r="14">
      <c r="A14" s="1" t="s">
        <v>137</v>
      </c>
      <c r="B14" s="15" t="s">
        <v>193</v>
      </c>
      <c r="D14" s="24">
        <v>13.0</v>
      </c>
      <c r="E14" s="27" t="s">
        <v>138</v>
      </c>
      <c r="F14" s="1">
        <v>187.0</v>
      </c>
      <c r="G14" s="27" t="s">
        <v>116</v>
      </c>
      <c r="H14" s="27"/>
      <c r="I14" s="27" t="s">
        <v>164</v>
      </c>
      <c r="J14" s="1">
        <v>40.0</v>
      </c>
      <c r="K14" s="27" t="s">
        <v>116</v>
      </c>
      <c r="L14" s="27"/>
      <c r="M14" s="27" t="s">
        <v>164</v>
      </c>
      <c r="N14" s="1">
        <v>40.0</v>
      </c>
      <c r="O14" s="27" t="s">
        <v>116</v>
      </c>
      <c r="P14" s="27"/>
      <c r="Q14" s="27" t="s">
        <v>126</v>
      </c>
      <c r="R14" s="1">
        <v>203.0</v>
      </c>
      <c r="S14" s="27" t="s">
        <v>116</v>
      </c>
      <c r="T14" s="27"/>
      <c r="U14" s="27" t="s">
        <v>164</v>
      </c>
      <c r="V14" s="1">
        <v>40.0</v>
      </c>
      <c r="W14" s="27" t="s">
        <v>116</v>
      </c>
      <c r="X14" s="27"/>
      <c r="Y14" s="27"/>
      <c r="AA14" s="27"/>
      <c r="AB14" s="1"/>
      <c r="AC14" s="27"/>
    </row>
    <row r="15">
      <c r="A15" s="1" t="s">
        <v>140</v>
      </c>
      <c r="B15" s="15" t="s">
        <v>200</v>
      </c>
      <c r="D15" s="24">
        <v>14.0</v>
      </c>
      <c r="E15" s="27" t="s">
        <v>157</v>
      </c>
      <c r="F15" s="1">
        <v>3.0</v>
      </c>
      <c r="G15" s="27"/>
      <c r="H15" s="27"/>
      <c r="I15" s="27" t="s">
        <v>157</v>
      </c>
      <c r="J15" s="1">
        <v>300.0</v>
      </c>
      <c r="K15" s="27"/>
      <c r="L15" s="27"/>
      <c r="M15" s="27" t="s">
        <v>157</v>
      </c>
      <c r="N15" s="1">
        <v>300.0</v>
      </c>
      <c r="O15" s="27"/>
      <c r="P15" s="27"/>
      <c r="Q15" s="27" t="s">
        <v>157</v>
      </c>
      <c r="R15" s="1">
        <v>3.0</v>
      </c>
      <c r="S15" s="27"/>
      <c r="T15" s="27"/>
      <c r="U15" s="27" t="s">
        <v>157</v>
      </c>
      <c r="V15" s="1">
        <v>300.0</v>
      </c>
      <c r="W15" s="27"/>
      <c r="X15" s="27"/>
      <c r="Y15" s="27"/>
      <c r="AA15" s="27"/>
      <c r="AC15" s="27"/>
    </row>
    <row r="16">
      <c r="A16" s="1" t="s">
        <v>203</v>
      </c>
      <c r="B16" s="26" t="s">
        <v>179</v>
      </c>
      <c r="D16" s="24">
        <v>15.0</v>
      </c>
      <c r="E16" s="27" t="s">
        <v>164</v>
      </c>
      <c r="F16" s="1">
        <v>40.0</v>
      </c>
      <c r="G16" s="27" t="s">
        <v>116</v>
      </c>
      <c r="H16" s="27"/>
      <c r="I16" s="27" t="s">
        <v>130</v>
      </c>
      <c r="J16" s="1">
        <v>3.0</v>
      </c>
      <c r="K16" s="27" t="s">
        <v>116</v>
      </c>
      <c r="L16" s="27"/>
      <c r="M16" s="27" t="s">
        <v>130</v>
      </c>
      <c r="N16" s="1">
        <v>3.0</v>
      </c>
      <c r="O16" s="27" t="s">
        <v>116</v>
      </c>
      <c r="P16" s="27"/>
      <c r="Q16" s="27" t="s">
        <v>164</v>
      </c>
      <c r="R16" s="1">
        <v>40.0</v>
      </c>
      <c r="S16" s="27" t="s">
        <v>116</v>
      </c>
      <c r="T16" s="27"/>
      <c r="U16" s="27" t="s">
        <v>130</v>
      </c>
      <c r="V16" s="1">
        <v>3.0</v>
      </c>
      <c r="W16" s="27" t="s">
        <v>116</v>
      </c>
      <c r="X16" s="27"/>
      <c r="Y16" s="27"/>
      <c r="AA16" s="27"/>
      <c r="AC16" s="27"/>
    </row>
    <row r="17">
      <c r="D17" s="24">
        <v>16.0</v>
      </c>
      <c r="E17" s="27" t="s">
        <v>157</v>
      </c>
      <c r="F17" s="1">
        <v>300.0</v>
      </c>
      <c r="G17" s="27"/>
      <c r="H17" s="27"/>
      <c r="I17" s="27" t="s">
        <v>157</v>
      </c>
      <c r="J17" s="1">
        <v>3.0</v>
      </c>
      <c r="K17" s="27"/>
      <c r="L17" s="27"/>
      <c r="M17" s="27" t="s">
        <v>157</v>
      </c>
      <c r="N17" s="1">
        <v>3.0</v>
      </c>
      <c r="O17" s="27"/>
      <c r="P17" s="27"/>
      <c r="Q17" s="27" t="s">
        <v>157</v>
      </c>
      <c r="R17" s="1">
        <v>300.0</v>
      </c>
      <c r="S17" s="27"/>
      <c r="T17" s="27"/>
      <c r="U17" s="27" t="s">
        <v>157</v>
      </c>
      <c r="V17" s="1">
        <v>3.0</v>
      </c>
      <c r="W17" s="27"/>
      <c r="X17" s="27"/>
      <c r="Y17" s="27"/>
      <c r="AA17" s="27"/>
      <c r="AC17" s="27"/>
    </row>
    <row r="18">
      <c r="D18" s="24">
        <v>17.0</v>
      </c>
      <c r="E18" s="27" t="s">
        <v>130</v>
      </c>
      <c r="F18" s="1">
        <v>3.0</v>
      </c>
      <c r="G18" s="27" t="s">
        <v>116</v>
      </c>
      <c r="H18" s="27"/>
      <c r="I18" s="27" t="s">
        <v>155</v>
      </c>
      <c r="J18" s="1">
        <v>44.0</v>
      </c>
      <c r="K18" s="27" t="s">
        <v>116</v>
      </c>
      <c r="L18" s="27"/>
      <c r="M18" s="27" t="s">
        <v>155</v>
      </c>
      <c r="N18" s="1">
        <v>44.0</v>
      </c>
      <c r="O18" s="27" t="s">
        <v>116</v>
      </c>
      <c r="P18" s="27"/>
      <c r="Q18" s="27" t="s">
        <v>130</v>
      </c>
      <c r="R18" s="1">
        <v>3.0</v>
      </c>
      <c r="S18" s="27" t="s">
        <v>116</v>
      </c>
      <c r="T18" s="27"/>
      <c r="U18" s="27" t="s">
        <v>155</v>
      </c>
      <c r="V18" s="1">
        <v>45.0</v>
      </c>
      <c r="W18" s="27" t="s">
        <v>116</v>
      </c>
      <c r="Y18" s="27"/>
      <c r="AA18" s="27"/>
      <c r="AC18" s="27"/>
    </row>
    <row r="19">
      <c r="D19" s="24">
        <v>18.0</v>
      </c>
      <c r="E19" s="27" t="s">
        <v>157</v>
      </c>
      <c r="F19" s="1">
        <v>3.0</v>
      </c>
      <c r="G19" s="27"/>
      <c r="I19" s="27" t="s">
        <v>157</v>
      </c>
      <c r="J19" s="1">
        <v>3.0</v>
      </c>
      <c r="K19" s="27"/>
      <c r="M19" s="27" t="s">
        <v>157</v>
      </c>
      <c r="N19" s="1">
        <v>3.0</v>
      </c>
      <c r="O19" s="27"/>
      <c r="Q19" s="27" t="s">
        <v>157</v>
      </c>
      <c r="R19" s="1">
        <v>3.0</v>
      </c>
      <c r="S19" s="27"/>
      <c r="U19" s="27" t="s">
        <v>157</v>
      </c>
      <c r="V19" s="1">
        <v>3.0</v>
      </c>
      <c r="W19" s="27"/>
      <c r="AC19" s="27"/>
    </row>
    <row r="20">
      <c r="B20" s="16"/>
      <c r="D20" s="24">
        <v>19.0</v>
      </c>
      <c r="E20" s="27" t="s">
        <v>155</v>
      </c>
      <c r="F20" s="1">
        <v>44.0</v>
      </c>
      <c r="G20" s="27" t="s">
        <v>116</v>
      </c>
      <c r="I20" s="1" t="s">
        <v>203</v>
      </c>
      <c r="J20" s="1">
        <v>315.0</v>
      </c>
      <c r="K20" s="1" t="s">
        <v>127</v>
      </c>
      <c r="M20" s="1" t="s">
        <v>203</v>
      </c>
      <c r="N20" s="1">
        <v>315.0</v>
      </c>
      <c r="O20" s="1" t="s">
        <v>127</v>
      </c>
      <c r="Q20" s="27" t="s">
        <v>155</v>
      </c>
      <c r="R20" s="1">
        <v>45.0</v>
      </c>
      <c r="S20" s="27" t="s">
        <v>116</v>
      </c>
      <c r="U20" s="1" t="s">
        <v>203</v>
      </c>
      <c r="V20" s="1">
        <v>315.0</v>
      </c>
      <c r="W20" s="1" t="s">
        <v>127</v>
      </c>
      <c r="AC20" s="27"/>
    </row>
    <row r="21">
      <c r="B21" s="16"/>
      <c r="D21" s="24">
        <v>20.0</v>
      </c>
      <c r="E21" s="27" t="s">
        <v>157</v>
      </c>
      <c r="F21" s="1">
        <v>3.0</v>
      </c>
      <c r="G21" s="27"/>
      <c r="Q21" s="27" t="s">
        <v>157</v>
      </c>
      <c r="R21" s="1">
        <v>3.0</v>
      </c>
      <c r="S21" s="27"/>
      <c r="AC21" s="27"/>
    </row>
    <row r="22">
      <c r="D22" s="24">
        <v>21.0</v>
      </c>
      <c r="E22" s="1" t="s">
        <v>203</v>
      </c>
      <c r="F22" s="1">
        <v>315.0</v>
      </c>
      <c r="G22" s="1" t="s">
        <v>127</v>
      </c>
      <c r="Q22" s="1" t="s">
        <v>203</v>
      </c>
      <c r="R22" s="1">
        <v>315.0</v>
      </c>
      <c r="S22" s="1" t="s">
        <v>127</v>
      </c>
    </row>
    <row r="23">
      <c r="D23" s="28"/>
    </row>
    <row r="24">
      <c r="B24" s="16"/>
      <c r="D24" s="24"/>
    </row>
    <row r="25">
      <c r="D25" s="24"/>
    </row>
    <row r="26">
      <c r="D26" s="24"/>
      <c r="Q26" s="27"/>
      <c r="S26" s="27"/>
    </row>
    <row r="27">
      <c r="D27" s="24"/>
      <c r="Q27" s="27"/>
      <c r="S27" s="27"/>
    </row>
    <row r="28">
      <c r="D28" s="28"/>
      <c r="Q28" s="27"/>
      <c r="S28" s="27"/>
    </row>
    <row r="29">
      <c r="D29" s="28"/>
      <c r="Q29" s="27"/>
      <c r="S29" s="27"/>
    </row>
    <row r="30">
      <c r="D30" s="28"/>
      <c r="Q30" s="27"/>
      <c r="S30" s="27"/>
    </row>
    <row r="31">
      <c r="D31" s="28"/>
      <c r="Q31" s="27"/>
      <c r="S31" s="27"/>
    </row>
    <row r="32">
      <c r="D32" s="28"/>
      <c r="Q32" s="27"/>
      <c r="S32" s="27"/>
    </row>
    <row r="33">
      <c r="D33" s="28"/>
      <c r="Q33" s="27"/>
      <c r="S33" s="27"/>
    </row>
    <row r="34">
      <c r="D34" s="28"/>
      <c r="Q34" s="27"/>
      <c r="S34" s="27"/>
    </row>
    <row r="35">
      <c r="D35" s="28"/>
      <c r="E35" s="16"/>
      <c r="Q35" s="27"/>
      <c r="S35" s="27"/>
    </row>
    <row r="36">
      <c r="D36" s="28"/>
      <c r="Q36" s="27"/>
      <c r="S36" s="27"/>
    </row>
    <row r="37">
      <c r="D37" s="28"/>
      <c r="Q37" s="27"/>
      <c r="S37" s="27"/>
    </row>
    <row r="38">
      <c r="D38" s="28"/>
      <c r="Q38" s="27"/>
      <c r="S38" s="27"/>
    </row>
    <row r="39">
      <c r="D39" s="28"/>
      <c r="Q39" s="27"/>
      <c r="S39" s="27"/>
    </row>
    <row r="40">
      <c r="D40" s="28"/>
      <c r="Q40" s="27"/>
      <c r="S40" s="27"/>
    </row>
    <row r="41">
      <c r="D41" s="28"/>
      <c r="Q41" s="27"/>
      <c r="S41" s="27"/>
    </row>
    <row r="42">
      <c r="D42" s="28"/>
      <c r="Q42" s="27"/>
      <c r="S42" s="27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  <row r="1001">
      <c r="D1001" s="28"/>
    </row>
    <row r="1002">
      <c r="D1002" s="28"/>
    </row>
    <row r="1003">
      <c r="D1003" s="28"/>
    </row>
    <row r="1004">
      <c r="D1004" s="28"/>
    </row>
    <row r="1005">
      <c r="D1005" s="28"/>
    </row>
    <row r="1006">
      <c r="D1006" s="28"/>
    </row>
    <row r="1007">
      <c r="D1007" s="28"/>
    </row>
    <row r="1008">
      <c r="D1008" s="28"/>
    </row>
    <row r="1009">
      <c r="D1009" s="28"/>
    </row>
    <row r="1010">
      <c r="D1010" s="28"/>
    </row>
    <row r="1011">
      <c r="D1011" s="28"/>
    </row>
    <row r="1012">
      <c r="D1012" s="2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