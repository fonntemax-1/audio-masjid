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nels" sheetId="1" r:id="rId5"/>
    <sheet state="visible" name="keuangan" sheetId="2" r:id="rId6"/>
    <sheet state="visible" name="qurban" sheetId="3" r:id="rId7"/>
    <sheet state="visible" name="pengurus" sheetId="4" r:id="rId8"/>
    <sheet state="visible" name="running_text" sheetId="5" r:id="rId9"/>
    <sheet state="visible" name="adzan" sheetId="6" r:id="rId10"/>
    <sheet state="visible" name="murotal" sheetId="7" r:id="rId11"/>
  </sheets>
  <definedNames/>
  <calcPr/>
</workbook>
</file>

<file path=xl/sharedStrings.xml><?xml version="1.0" encoding="utf-8"?>
<sst xmlns="http://schemas.openxmlformats.org/spreadsheetml/2006/main" count="615" uniqueCount="334">
  <si>
    <t>KOTA</t>
  </si>
  <si>
    <t xml:space="preserve">SUSUNAN PENGURUS </t>
  </si>
  <si>
    <t>DAFTAR PESERTA QUR'BAN</t>
  </si>
  <si>
    <t>LAPORAN KEUANGAN</t>
  </si>
  <si>
    <t>MASJID AL-MUBAROQAH</t>
  </si>
  <si>
    <t>PERIODE KEPENGURUSAN 2026 – 2029</t>
  </si>
  <si>
    <t>I. Unsur Pembina &amp; Penasehat</t>
  </si>
  <si>
    <t>Pelindung: Bapak Ahmad Subarjo (Kepala Kampung Damai)</t>
  </si>
  <si>
    <t>Pembina / Penasehat:</t>
  </si>
  <si>
    <t>Bapak H. Sukirman (Tokoh Agama / Sesepuh Kampung)</t>
  </si>
  <si>
    <t>Bapak M. Yasin (Ketua RW 01)</t>
  </si>
  <si>
    <t>Bapak Supriyadi (Ketua RT 04)</t>
  </si>
  <si>
    <t>Bapak Surono (Ketua RT 02)</t>
  </si>
  <si>
    <t>II. Pengurus Harian</t>
  </si>
  <si>
    <r>
      <rPr>
        <rFont val="Arial"/>
        <b/>
        <color theme="1"/>
        <sz val="11.0"/>
      </rPr>
      <t>Ketua:</t>
    </r>
    <r>
      <rPr>
        <rFont val="Arial"/>
        <color theme="1"/>
        <sz val="11.0"/>
      </rPr>
      <t xml:space="preserve"> Bapak Ustadz Mansyur Al-Hafiz</t>
    </r>
  </si>
  <si>
    <r>
      <rPr>
        <rFont val="Arial"/>
        <b/>
        <color theme="1"/>
        <sz val="11.0"/>
      </rPr>
      <t>Wakil Ketua</t>
    </r>
    <r>
      <rPr>
        <rFont val="Arial"/>
        <color theme="1"/>
        <sz val="11.0"/>
      </rPr>
      <t>: Bapak Hendra Wijaya</t>
    </r>
  </si>
  <si>
    <r>
      <rPr>
        <rFont val="Arial"/>
        <b/>
        <color theme="1"/>
        <sz val="11.0"/>
      </rPr>
      <t>Sekretaris:</t>
    </r>
    <r>
      <rPr>
        <rFont val="Arial"/>
        <color theme="1"/>
        <sz val="11.0"/>
      </rPr>
      <t xml:space="preserve"> Mas Aditya Pratama</t>
    </r>
  </si>
  <si>
    <r>
      <rPr>
        <rFont val="Arial"/>
        <b/>
        <color theme="1"/>
        <sz val="11.0"/>
      </rPr>
      <t>Bendahara:</t>
    </r>
    <r>
      <rPr>
        <rFont val="Arial"/>
        <color theme="1"/>
        <sz val="11.0"/>
      </rPr>
      <t xml:space="preserve"> Bapak H. Budi Santoso</t>
    </r>
  </si>
  <si>
    <t>III. Seksi-Seksi (Bidang Kerja)</t>
  </si>
  <si>
    <t>1. Seksi Peribadatan &amp; Dakwah</t>
  </si>
  <si>
    <t>Pemasukan</t>
  </si>
  <si>
    <t>Jumlah</t>
  </si>
  <si>
    <r>
      <rPr>
        <rFont val="Arial"/>
        <color theme="1"/>
        <sz val="11.0"/>
      </rPr>
      <t xml:space="preserve">Tugas: </t>
    </r>
    <r>
      <rPr>
        <rFont val="Arial"/>
        <i/>
        <color theme="1"/>
        <sz val="11.0"/>
      </rPr>
      <t>Mengatur jadwal imam/muadzin, pengajian bulanan, dan peringatan hari besar Islam.</t>
    </r>
  </si>
  <si>
    <r>
      <rPr>
        <rFont val="Arial"/>
        <b/>
        <color theme="1"/>
        <sz val="11.0"/>
      </rPr>
      <t>Koordinator:</t>
    </r>
    <r>
      <rPr>
        <rFont val="Arial"/>
        <color theme="1"/>
        <sz val="11.0"/>
      </rPr>
      <t xml:space="preserve"> Bapak Ustadz Syarifuddin udin</t>
    </r>
  </si>
  <si>
    <t>Anggota:</t>
  </si>
  <si>
    <t>Infaq Sodaqoh</t>
  </si>
  <si>
    <t>Bapak Ali Zainal</t>
  </si>
  <si>
    <t>Bapak Lukman Hakim</t>
  </si>
  <si>
    <t>2. Seksi Pembangunan &amp; Pemeliharaan (Sarana Prasarana)</t>
  </si>
  <si>
    <r>
      <rPr>
        <rFont val="Arial"/>
        <b/>
        <color theme="1"/>
        <sz val="11.0"/>
      </rPr>
      <t>Tugas:</t>
    </r>
    <r>
      <rPr>
        <rFont val="Arial"/>
        <color theme="1"/>
        <sz val="11.0"/>
      </rPr>
      <t xml:space="preserve"> </t>
    </r>
    <r>
      <rPr>
        <rFont val="Arial"/>
        <i/>
        <color theme="1"/>
        <sz val="11.0"/>
      </rPr>
      <t>Merawat bangunan masjid, sound system, tempat wudhu, dan kerja bakti kebersihan.</t>
    </r>
  </si>
  <si>
    <r>
      <rPr>
        <rFont val="Arial"/>
        <b/>
        <color theme="1"/>
        <sz val="11.0"/>
      </rPr>
      <t>Koordinator:</t>
    </r>
    <r>
      <rPr>
        <rFont val="Arial"/>
        <color theme="1"/>
        <sz val="11.0"/>
      </rPr>
      <t xml:space="preserve"> Bapak Joko Waseno</t>
    </r>
  </si>
  <si>
    <t>Bapak Slamet Riyadi</t>
  </si>
  <si>
    <t>Hamba Allah</t>
  </si>
  <si>
    <t>Bapak Wawan Setiawan</t>
  </si>
  <si>
    <t xml:space="preserve">3. Seksi Zakat &amp; Sosial </t>
  </si>
  <si>
    <r>
      <rPr>
        <rFont val="Arial"/>
        <b/>
        <color theme="1"/>
        <sz val="11.0"/>
      </rPr>
      <t>Tugas:</t>
    </r>
    <r>
      <rPr>
        <rFont val="Arial"/>
        <color theme="1"/>
        <sz val="11.0"/>
      </rPr>
      <t xml:space="preserve"> </t>
    </r>
    <r>
      <rPr>
        <rFont val="Arial"/>
        <i/>
        <color theme="1"/>
        <sz val="11.0"/>
      </rPr>
      <t>Mengelola zakat fitrah, pembagian hewan qurban</t>
    </r>
  </si>
  <si>
    <t>Kotak Infaq</t>
  </si>
  <si>
    <r>
      <rPr>
        <rFont val="Arial"/>
        <b/>
        <color theme="1"/>
        <sz val="11.0"/>
      </rPr>
      <t xml:space="preserve">Koordinator: </t>
    </r>
    <r>
      <rPr>
        <rFont val="Arial"/>
        <color theme="1"/>
        <sz val="11.0"/>
      </rPr>
      <t>Bapak H. Rahmat Hidayat</t>
    </r>
  </si>
  <si>
    <t>Bapak M. Ridwan</t>
  </si>
  <si>
    <t>Bapak Toto Sunarto</t>
  </si>
  <si>
    <t>Donasi Jamaah</t>
  </si>
  <si>
    <t>4. Kematian</t>
  </si>
  <si>
    <t>Sumbangan Lainnya</t>
  </si>
  <si>
    <t>KELOMPOK 1 (SAPI 01)</t>
  </si>
  <si>
    <r>
      <rPr>
        <rFont val="Arial"/>
        <b/>
        <color theme="1"/>
        <sz val="11.0"/>
      </rPr>
      <t>Tugas:</t>
    </r>
    <r>
      <rPr>
        <rFont val="Arial"/>
        <color theme="1"/>
        <sz val="11.0"/>
      </rPr>
      <t xml:space="preserve"> M</t>
    </r>
    <r>
      <rPr>
        <rFont val="Arial"/>
        <i/>
        <color theme="1"/>
        <sz val="11.0"/>
      </rPr>
      <t>embantu pengurusan jenazah warga.</t>
    </r>
  </si>
  <si>
    <t>Total Pemasukan</t>
  </si>
  <si>
    <t>Ahmad Subarjo bin Sukiman</t>
  </si>
  <si>
    <r>
      <rPr>
        <rFont val="Arial"/>
        <b/>
        <color theme="1"/>
        <sz val="11.0"/>
      </rPr>
      <t xml:space="preserve">Koordinator: </t>
    </r>
    <r>
      <rPr>
        <rFont val="Arial"/>
        <color theme="1"/>
        <sz val="11.0"/>
      </rPr>
      <t>Bapak H. Jaunuri Wahab</t>
    </r>
  </si>
  <si>
    <t>Budi Hartono bin Setiawan</t>
  </si>
  <si>
    <t>Bapak ZA Maulani</t>
  </si>
  <si>
    <t>Citra Kirana binti Ramlan</t>
  </si>
  <si>
    <t>Bapak sokran</t>
  </si>
  <si>
    <t>Dedi Wijaya bin Kusuma</t>
  </si>
  <si>
    <t>5. Seksi Pemberdayaan Perempuan (Majelis Ta'lim Ibu-Ibu)</t>
  </si>
  <si>
    <t>Endang Sarwo Sri binti Subakit</t>
  </si>
  <si>
    <r>
      <rPr>
        <rFont val="Arial"/>
        <b/>
        <color theme="1"/>
        <sz val="11.0"/>
      </rPr>
      <t>Tugas</t>
    </r>
    <r>
      <rPr>
        <rFont val="Arial"/>
        <color theme="1"/>
        <sz val="11.0"/>
      </rPr>
      <t xml:space="preserve">: </t>
    </r>
    <r>
      <rPr>
        <rFont val="Arial"/>
        <i/>
        <color theme="1"/>
        <sz val="11.0"/>
      </rPr>
      <t>Mengoordinasi pengajian rutin ibu-ibu dan konsumsi acara masjid.</t>
    </r>
  </si>
  <si>
    <t>Faizal Rahman bin Katiman</t>
  </si>
  <si>
    <r>
      <rPr>
        <rFont val="Arial"/>
        <b/>
        <color theme="1"/>
        <sz val="11.0"/>
      </rPr>
      <t>Koordinator:</t>
    </r>
    <r>
      <rPr>
        <rFont val="Arial"/>
        <color theme="1"/>
        <sz val="11.0"/>
      </rPr>
      <t xml:space="preserve"> Ibu Hj. Siti Aminah</t>
    </r>
  </si>
  <si>
    <t>Gunawan Wibisono bin H. Ansor</t>
  </si>
  <si>
    <t>Ibu Sri Wahyuni</t>
  </si>
  <si>
    <t>KELOMPOK 2 (SAPI 02)</t>
  </si>
  <si>
    <t>Ibu Fatimah</t>
  </si>
  <si>
    <t>6. Seksi Remaja Masjid (Risma)</t>
  </si>
  <si>
    <t>H. Saenal bin Sape</t>
  </si>
  <si>
    <r>
      <rPr>
        <rFont val="Arial"/>
        <b/>
        <color theme="1"/>
        <sz val="11.0"/>
      </rPr>
      <t>Tugas:</t>
    </r>
    <r>
      <rPr>
        <rFont val="Arial"/>
        <color theme="1"/>
        <sz val="11.0"/>
      </rPr>
      <t xml:space="preserve"> </t>
    </r>
    <r>
      <rPr>
        <rFont val="Arial"/>
        <i/>
        <color theme="1"/>
        <sz val="11.0"/>
      </rPr>
      <t>Menggerakkan pemuda kampung untuk kegiatan masjid dan mengelola media sosial masjid.</t>
    </r>
  </si>
  <si>
    <t>Hj. Mardianah binti Amiruddin</t>
  </si>
  <si>
    <t>Koordinator: Mas Dimas Setiawan</t>
  </si>
  <si>
    <t>Irfan Hakim bin Asyhari</t>
  </si>
  <si>
    <t>Mbak Rara aja</t>
  </si>
  <si>
    <t>Joko Susilo bin Paiman</t>
  </si>
  <si>
    <t>Mas Faisal Rahman</t>
  </si>
  <si>
    <t>Kartika Putri binti Bowo</t>
  </si>
  <si>
    <t>6. Seksi TPA (Taman Pendidikan Al-Qur'an)</t>
  </si>
  <si>
    <t>Lukman Nurhakim bin Sarmin</t>
  </si>
  <si>
    <t>Muhammad Rizky bin Ard</t>
  </si>
  <si>
    <r>
      <rPr>
        <rFont val="Arial"/>
        <b/>
        <color theme="1"/>
        <sz val="11.0"/>
      </rPr>
      <t>Tugas:</t>
    </r>
    <r>
      <rPr>
        <rFont val="Arial"/>
        <color theme="1"/>
        <sz val="11.0"/>
      </rPr>
      <t xml:space="preserve"> Taman Pendidikan Al-Quran bagi anak usia dini</t>
    </r>
  </si>
  <si>
    <t>Balikpapan</t>
  </si>
  <si>
    <t>KELOMPOK 3 (SAPI 03)</t>
  </si>
  <si>
    <t>Koordinator: Mas Suseno</t>
  </si>
  <si>
    <t>Ony Syahrial bin Supri</t>
  </si>
  <si>
    <t>Purnomo bin Rasimin</t>
  </si>
  <si>
    <t>Pengeluaran</t>
  </si>
  <si>
    <t>Mbak Rara Anggraini rika</t>
  </si>
  <si>
    <t>Qori Sandioriva binti Marno</t>
  </si>
  <si>
    <t>Rigan Nurudin bin Candi</t>
  </si>
  <si>
    <t>Septian Dani bin Suwondo</t>
  </si>
  <si>
    <t>IV. Petugas Khusus</t>
  </si>
  <si>
    <t>Taufik Hidayat bin Habib Sulaiman</t>
  </si>
  <si>
    <t>KELOMPOK 4 (SAPI 04)</t>
  </si>
  <si>
    <t>Listrik &amp; Air</t>
  </si>
  <si>
    <r>
      <rPr>
        <rFont val="Arial"/>
        <b/>
        <color theme="1"/>
        <sz val="11.0"/>
      </rPr>
      <t xml:space="preserve">Marbot / Kaum Masjid: </t>
    </r>
    <r>
      <rPr>
        <rFont val="Arial"/>
        <color theme="1"/>
        <sz val="11.0"/>
      </rPr>
      <t>Bapak Tugimin</t>
    </r>
  </si>
  <si>
    <t>PROVINSI</t>
  </si>
  <si>
    <t>Umi Kalsum binti Suwartinah</t>
  </si>
  <si>
    <t>Kebersihan Masjid</t>
  </si>
  <si>
    <t>Vina Panduwinata binti Sukini</t>
  </si>
  <si>
    <t>Wawan Setiawan bin Rudi Hartono</t>
  </si>
  <si>
    <t>Internet</t>
  </si>
  <si>
    <t>Kalimantan Timur</t>
  </si>
  <si>
    <t>Xenia Clarissa binti Seto Adji</t>
  </si>
  <si>
    <t>Yudiantara bin Agus Suryono</t>
  </si>
  <si>
    <t>Zulkifli bin M. Jufri</t>
  </si>
  <si>
    <t>ZONA WAKTU</t>
  </si>
  <si>
    <t>Ratnawati binti Moelyono</t>
  </si>
  <si>
    <t>WITA</t>
  </si>
  <si>
    <t>KELOMPOK 5 (SAPI 05)</t>
  </si>
  <si>
    <t>TIMEZONE</t>
  </si>
  <si>
    <t>Asia/Makassar</t>
  </si>
  <si>
    <t>Asim bin Marta</t>
  </si>
  <si>
    <t>Ayu Moorya binti Djoni</t>
  </si>
  <si>
    <t>GMT</t>
  </si>
  <si>
    <t>UTC+8</t>
  </si>
  <si>
    <t>Eva Fatimah binti Sigit</t>
  </si>
  <si>
    <t>Insentif bulanan Imam Rawatib</t>
  </si>
  <si>
    <t>SLUG</t>
  </si>
  <si>
    <t>Insentif bulanan Kaum/Marbot masjid</t>
  </si>
  <si>
    <t>Insentif bulanan Muadzin</t>
  </si>
  <si>
    <t>Hamidah binti Adang</t>
  </si>
  <si>
    <t>balikpapan</t>
  </si>
  <si>
    <t>Honorarium penceramah khutbah Jumat</t>
  </si>
  <si>
    <t>Pradzna Paramita binti Mochtar</t>
  </si>
  <si>
    <t>Grahan William bin Ray</t>
  </si>
  <si>
    <t>Glengarry Putra bin Graham</t>
  </si>
  <si>
    <t>SAPI 06</t>
  </si>
  <si>
    <t>NAMA</t>
  </si>
  <si>
    <t>Honorarium guru TPA/TPQ masjid</t>
  </si>
  <si>
    <t>SAPI 07</t>
  </si>
  <si>
    <t>AL-MUBAROQAH</t>
  </si>
  <si>
    <t>Honorarium penceramah kajian bulanan</t>
  </si>
  <si>
    <t>Insentif petugas keamanan (sekuriti) masjid</t>
  </si>
  <si>
    <t>ALAMAT</t>
  </si>
  <si>
    <t>KAMBING 01</t>
  </si>
  <si>
    <t>KAMPUNG BARU</t>
  </si>
  <si>
    <t>Konsumsi/Kegiatan</t>
  </si>
  <si>
    <t>KAMBING 02</t>
  </si>
  <si>
    <t>Perawatan Masjid</t>
  </si>
  <si>
    <t>KONOHA</t>
  </si>
  <si>
    <t>Operasional</t>
  </si>
  <si>
    <t>KAMBING 03</t>
  </si>
  <si>
    <t>NO HP</t>
  </si>
  <si>
    <t>WA : 0811-2345-6789</t>
  </si>
  <si>
    <t>Total Pengeluaran</t>
  </si>
  <si>
    <t>SLOGAN</t>
  </si>
  <si>
    <t>Sucikan Hati, Bersihkan Diri, Imarahkan Masjid</t>
  </si>
  <si>
    <t>TEMA WARNA</t>
  </si>
  <si>
    <t>KUNING</t>
  </si>
  <si>
    <t>LINK VIDEO DISPLAY</t>
  </si>
  <si>
    <t>https://www.youtube.com/watch?v=ZONavaMiwSs</t>
  </si>
  <si>
    <t>Rekapitulasi</t>
  </si>
  <si>
    <t>Saldo Awal</t>
  </si>
  <si>
    <t>AUTO</t>
  </si>
  <si>
    <t>DISPLAY MODE</t>
  </si>
  <si>
    <t>SALDO AKHIR</t>
  </si>
  <si>
    <t>OFF</t>
  </si>
  <si>
    <t>https://www.youtube.com/watch?v=KAiQOtHtX6Y</t>
  </si>
  <si>
    <t>LIVE STREAMING</t>
  </si>
  <si>
    <t>TABEL 1</t>
  </si>
  <si>
    <t>PENGURUS</t>
  </si>
  <si>
    <t>PETUGAS</t>
  </si>
  <si>
    <t>SHOLAT IDUL FITRI</t>
  </si>
  <si>
    <t>H. Umar Amir Lc</t>
  </si>
  <si>
    <t>Allaahumma inniy as-aluka 'ilman naafi'an, wa rizqan thayyiban, wa 'amalan mutaqabbalan</t>
  </si>
  <si>
    <t>KH. Joko Suseno</t>
  </si>
  <si>
    <t>Ya Allah, sungguh aku memohon kepada-Mu ilmu yang bermanfaat, rezeki yang baik, dan amal yang diterima</t>
  </si>
  <si>
    <t>Rabbanaa aatinaa fid-dunyaa hasanatan wa fil-aakhirati hasanatan wa qinaa 'adzaaban-naar</t>
  </si>
  <si>
    <t>Ya Tuhan kami, berilah kami kebaikan di dunia dan kebaikan di akhirat serta lindungilah kami dari siksa neraka</t>
  </si>
  <si>
    <t>Drs. H. Ahmad Amin</t>
  </si>
  <si>
    <t>Rabbanaa laa tuzigh quluubanaa ba'da idz hadaitanaa wa hab lanaa mil-ladunka rahmatan innaka antal-wahhaab</t>
  </si>
  <si>
    <t>Ya Tuhan kami, janganlah Engkau jadikan hati kami condong kepada kesesatan setelah Engkau memberi petunjuk kepada kami dan karuniakanlah rahmat dari sisi-Mu</t>
  </si>
  <si>
    <t>EVENT RUNNING TEXT</t>
  </si>
  <si>
    <t>Rabbighfir liy wa liwaalidayya wa lil-mu'miniina yauma yaquumul-hisaab</t>
  </si>
  <si>
    <t>PERCOBAAN</t>
  </si>
  <si>
    <t>Ya Tuhan kami, ampunilah aku, kedua orang tuaku, dan orang-orang mukmin pada hari diadakan perhitungan</t>
  </si>
  <si>
    <t>DISPLAY SIGNAGE</t>
  </si>
  <si>
    <t>Rabbirhamhumaa kamaa rabbayaanii shaghiiraa</t>
  </si>
  <si>
    <t>UNTUK INFORMASI DAN SARAN</t>
  </si>
  <si>
    <t>MENGHUBUNGI WA: 0813-4747-0555</t>
  </si>
  <si>
    <t>Ya Tuhanku, sayangilah keduanya sebagaimana mereka telah menyayangiku ketika aku masih kecil</t>
  </si>
  <si>
    <t>Rabbi inniy limaa anzalta ilayya min khairin faqiir</t>
  </si>
  <si>
    <t>INFAQ &amp; SHADAQAH</t>
  </si>
  <si>
    <t>Ya Tuhanku, sesungguhnya aku sangat memerlukan suatu kebaikan yang Engkau turunkan kepadaku</t>
  </si>
  <si>
    <t>Rabbi zidnii 'ilmaa</t>
  </si>
  <si>
    <t>No.Rek</t>
  </si>
  <si>
    <t>BANK MIUN 10987654321</t>
  </si>
  <si>
    <t>Nama</t>
  </si>
  <si>
    <t>Ya Tuhanku, tambahkanlah kepadaku ilmu</t>
  </si>
  <si>
    <t>Rabbi ishrah liy shadriy wa yassir liy amriy</t>
  </si>
  <si>
    <t>SUBUH RAMADHAN</t>
  </si>
  <si>
    <t>Ya Tuhanku, lapangkanlah dadaku dan mudahkanlah urusanku</t>
  </si>
  <si>
    <t>STATUS</t>
  </si>
  <si>
    <t>Hasbiyallaahu laa ilaaha illaa huwa 'alayhi tawakkaltu wa huwa rabbul-'arsyil-'azhiim</t>
  </si>
  <si>
    <t>SUBUH BIASA</t>
  </si>
  <si>
    <t>Cukuplah Allah bagiku Tidak ada Tuhan selain Dia Kepada-Nya aku bertawakal dan Dia adalah Tuhan Arsy yang agung</t>
  </si>
  <si>
    <t>Hasbunallaahu wa ni'mal-wakiil</t>
  </si>
  <si>
    <t>DZUHUR</t>
  </si>
  <si>
    <t>Cukuplah Allah menjadi penolong kami dan Dia adalah sebaik-baik pelindung</t>
  </si>
  <si>
    <t>Laa ilaaha illaa anta subhaanaka inniy kuntu minazh-zhaalimiin</t>
  </si>
  <si>
    <t>ASHAR</t>
  </si>
  <si>
    <t>MAGRIB RAMADHAN</t>
  </si>
  <si>
    <t>Tidak ada Tuhan selain Engkau Mahasuci Engkau, sesungguhnya aku termasuk orang-orang yang zalim</t>
  </si>
  <si>
    <t>MAGRIB BIASA</t>
  </si>
  <si>
    <t>ISYA</t>
  </si>
  <si>
    <t>Rabbanaa innanaa aamannaa faghfir lanaa dzunuubanaa wa qinaa 'adzaaban-naar</t>
  </si>
  <si>
    <t>JUM'AT</t>
  </si>
  <si>
    <t>Ya Tuhan kami, sesungguhnya kami telah beriman, maka ampunilah dosa-dosa kami dan lindungilah kami dari siksa neraka</t>
  </si>
  <si>
    <t>qiroah-1</t>
  </si>
  <si>
    <t>Rabbanaa aamannaa bimaa anzalta wattaba'nar-rasuula faktubnaa ma'asy-syaahidiin</t>
  </si>
  <si>
    <t>ON</t>
  </si>
  <si>
    <t>qiroah-2</t>
  </si>
  <si>
    <t>Ya Tuhan kami, kami telah beriman kepada apa yang Engkau turunkan dan kami telah mengikuti Rasul, maka catatlah kami bersama orang-orang yang menjadi saksi</t>
  </si>
  <si>
    <t>Rabbanaa afrigh 'alainaa shabran wa tawaffanaa muslimiin</t>
  </si>
  <si>
    <t>qiroah-3</t>
  </si>
  <si>
    <t>Ya Tuhan kami, limpahkanlah kesabaran kepada kami dan wafatkanlah kami dalam keadaan berserah diri</t>
  </si>
  <si>
    <t>Rabbanaa hablanaa min ladunka rahmatan wa hayyi' lanaa min amrinaa rasyadaa</t>
  </si>
  <si>
    <t>qiroah-4</t>
  </si>
  <si>
    <t>qiroah-5</t>
  </si>
  <si>
    <t>Ya Tuhan kami, berikanlah rahmat kepada kami dari sisi-Mu dan sempurnakanlah petunjuk bagi kami dalam urusan kami</t>
  </si>
  <si>
    <t>Rabbanaa dhalamnaa anfusanaa wa illam taghfir lanaa wa tarhamnaa lanakuunanna minal-khaasiriin</t>
  </si>
  <si>
    <t>tarhim</t>
  </si>
  <si>
    <t>Ya Tuhan kami, kami telah menzalimi diri kami sendiri Jika Engkau tidak mengampuni dan menyayangi kami, niscaya kami termasuk orang-orang yang rugi</t>
  </si>
  <si>
    <t>Rabbanaa laa taj'alnaa fitnatan lilladziina kafaruu waghfir lanaa rabbanaa innaka antal-'aziizul-hakiim</t>
  </si>
  <si>
    <t>adzan-biasa</t>
  </si>
  <si>
    <t>sirine</t>
  </si>
  <si>
    <t>Ya Tuhan kami, janganlah Engkau jadikan kami sasaran fitnah bagi orang-orang kafir dan ampunilah kami Sesungguhnya Engkau Mahaperkasa lagi Mahabijaksana</t>
  </si>
  <si>
    <t>beep</t>
  </si>
  <si>
    <t>Rabbanaa taqabbal minnaa innaka antas-samii'ul-'aliim</t>
  </si>
  <si>
    <t>Ya Tuhan kami, terimalah amal kami Sesungguhnya Engkaulah Yang Maha Mendengar lagi Maha Mengetahui</t>
  </si>
  <si>
    <t>Rabbanaa waj'alnaa muslimaini laka wa min dzurriyyatinaa ummatan muslimatan laka</t>
  </si>
  <si>
    <t>doa-puasa</t>
  </si>
  <si>
    <t>Ya Tuhan kami, jadikanlah kami berdua orang yang berserah diri kepada-Mu dan dari keturunan kami umat yang berserah diri kepada-Mu</t>
  </si>
  <si>
    <t>adzan-subuh</t>
  </si>
  <si>
    <t>Rabbanaa wa arinaa manaasikanaa wa tub 'alainaa innaka antat-tawwaabur-rahiim</t>
  </si>
  <si>
    <t>DESCRIPTION</t>
  </si>
  <si>
    <t>doa-buka</t>
  </si>
  <si>
    <t>doa-adzan</t>
  </si>
  <si>
    <t>Ya Tuhan kami, tunjukkanlah kepada kami tata cara ibadah kami dan terimalah tobat kami Sesungguhnya Engkaulah Maha Penerima Tobat lagi Maha Penyayang</t>
  </si>
  <si>
    <t>LINK</t>
  </si>
  <si>
    <t>Rabbanaa laa tu'aakhidznaa innasiinaa aw akhta'naa</t>
  </si>
  <si>
    <t>iqomah</t>
  </si>
  <si>
    <t>Ya Tuhan kami, janganlah Engkau hukum kami jika kami lupa atau melakukan kesalahan</t>
  </si>
  <si>
    <t>Rabbanaa wa laa tahmil 'alainaa isran kamaa hamaltahu 'alal-ladziina min qablinaa</t>
  </si>
  <si>
    <t>Ya Tuhan kami, janganlah Engkau bebankan kepada kami beban berat sebagaimana Engkau bebankan kepada orang-orang sebelum kami</t>
  </si>
  <si>
    <t>https://fonntemax-1.github.io/audio-masjid/qiroah.mp3</t>
  </si>
  <si>
    <t>Rabbanaa wa laa tuhammilnaa maa laa thaaqata lanaa bih</t>
  </si>
  <si>
    <t>Ya Tuhan kami, janganlah Engkau pikulkan kepada kami apa yang tidak sanggup kami memikulnya</t>
  </si>
  <si>
    <t>Wa'fu 'annaa waghfir lanaa warhamnaa anta maulaanaa fansurnaa 'alal-qaumil-kaafiriin</t>
  </si>
  <si>
    <t xml:space="preserve">Takbiran </t>
  </si>
  <si>
    <t>Maafkanlah kami, ampunilah kami, dan rahmatilah kami Engkaulah pelindung kami, maka tolonglah kami menghadapi orang-orang kafir</t>
  </si>
  <si>
    <t>COUTDOWN EVENT</t>
  </si>
  <si>
    <t>Rabbanaa laa taj'al fii quluubinaa ghillal-lilladziina aamanuu</t>
  </si>
  <si>
    <t>MULAI</t>
  </si>
  <si>
    <t>AKHIR</t>
  </si>
  <si>
    <t>MENUJU RAMADHAN</t>
  </si>
  <si>
    <t>Ya Tuhan kami, janganlah Engkau jadikan dalam hati kami rasa dengki terhadap orang-orang yang beriman</t>
  </si>
  <si>
    <t>MENUJU LAILATUL QAD'R</t>
  </si>
  <si>
    <t>MENUJU IDUL FITRI</t>
  </si>
  <si>
    <t>Allaahumma inniy as-alukal-'afwa wal-'aafiyata fid-dunyaa wal-aakhirah</t>
  </si>
  <si>
    <t>MENUJU IDUL ADHA</t>
  </si>
  <si>
    <t xml:space="preserve">MILAD GILANG </t>
  </si>
  <si>
    <t>Ya Allah, aku memohon kepada-Mu ampunan dan keselamatan di dunia dan akhirat</t>
  </si>
  <si>
    <t>Allaahumma inniy as-aluka al-hudaa wat-tuqaa wal-'afaafa wal-ghinaa</t>
  </si>
  <si>
    <t>Ya Allah, aku memohon kepada-Mu petunjuk, ketakwaan, kesucian diri, dan kecukupan</t>
  </si>
  <si>
    <t>Allaahumma inniy as-aluka ridhaaka wal-jannah wa a'uudzu bika min sakhatika wan-naar</t>
  </si>
  <si>
    <t>Ya Allah, aku memohon keridaan-Mu dan surga-Mu, serta berlindung kepada-Mu dari kemurkaan-Mu dan neraka</t>
  </si>
  <si>
    <t>Allaahumma inniy a'uudzu bika minal-hammi wal-hazan</t>
  </si>
  <si>
    <t>Ya Allah, aku berlindung kepada-Mu dari kegelisahan dan kesedihan</t>
  </si>
  <si>
    <t>Allaahumma inniy a'uudzu bika minal-'ajzi wal-kasal</t>
  </si>
  <si>
    <t>Ya Allah, aku berlindung kepada-Mu dari kelemahan dan kemalasan</t>
  </si>
  <si>
    <t>Allaahumma inniy a'uudzu bika minal-jubni wal-bukhl</t>
  </si>
  <si>
    <t>https://fonntemax-1.github.io/audio-masjid/Shalawat%20Tarhim.mp3</t>
  </si>
  <si>
    <t>Ya Allah, aku berlindung kepada-Mu dari sifat pengecut dan kikir</t>
  </si>
  <si>
    <t>Allaahumma inniy a'uudzu bika min ghalabatid-daini wa qahrir-rijaal</t>
  </si>
  <si>
    <t>Ya Allah, aku berlindung kepada-Mu dari lilitan utang dan tekanan manusia</t>
  </si>
  <si>
    <t>https://fonntemax-1.github.io/audio-masjid/beep.mp3</t>
  </si>
  <si>
    <t>Allaahumma inniy as-aluka hubbaka wa hubba man yuhibbuka wa hubba 'amalin yuqarribuniy ilaa hubbik</t>
  </si>
  <si>
    <t>Ya Allah, aku memohon cinta-Mu, cinta orang-orang yang mencintai-Mu, dan cinta amal yang mendekatkanku kepada cinta-Mu</t>
  </si>
  <si>
    <t>Allaahumma a'inniy 'alaa dzikrika wa syukrika wa husni 'ibaadatik</t>
  </si>
  <si>
    <t>Ya Allah, bantulah aku untuk mengingat-Mu, bersyukur kepada-Mu, dan beribadah dengan baik kepada-Mu</t>
  </si>
  <si>
    <t>Allaahumma inniy as-aluka tsabaatan fil-amri wal-'aziimata 'alar-rusydi</t>
  </si>
  <si>
    <t>Ya Allah, aku memohon keteguhan dalam urusan dan tekad untuk mengikuti petunjuk</t>
  </si>
  <si>
    <t>Allaahumma inniy as-aluka ilman naafi'an wa rizqan thayyiban wa 'amalan mutaqabbalan</t>
  </si>
  <si>
    <t>https://fonntemax-1.github.io/audio-masjid/adzan-subuh.mp3</t>
  </si>
  <si>
    <t>Ya Allah, aku memohon ilmu yang bermanfaat, rezeki yang baik, dan amal yang diterima</t>
  </si>
  <si>
    <t>Allaahummaghfir liy warhamniy wahdiniy wa 'aafiniy warzuqniy</t>
  </si>
  <si>
    <t>Ya Allah, ampunilah aku, rahmatilah aku, berilah aku petunjuk, berikanlah aku kesehatan, dan berilah aku rezeki</t>
  </si>
  <si>
    <t>Allaahumma inniy a'uudzu bika min 'ilmin laa yanfa'u wa qalbin laa yakhsya'u wa nafsin laa tasyba'u wa du'aa'in laa yusma'u</t>
  </si>
  <si>
    <t>Ya Allah, aku berlindung kepada-Mu dari ilmu yang tidak bermanfaat, hati yang tidak khusyuk, jiwa yang tidak pernah puas, dan doa yang tidak didengar</t>
  </si>
  <si>
    <t>Allaahumma aslih liy diiniyalladzi huwa 'ishmatu amriy wa aslih liy dunyaayallatii fiihaa ma'aasyiy</t>
  </si>
  <si>
    <t>https://fonntemax-1.github.io/audio-masjid/adzan-biasa.mp3</t>
  </si>
  <si>
    <t>Ya Allah, perbaikilah agamaku yang menjadi penjaga urusanku dan perbaikilah duniaku yang menjadi tempat kehidupanku</t>
  </si>
  <si>
    <t>Allaahumma aslih liy aakhiratiyallatii ilayhaa ma'aadiy</t>
  </si>
  <si>
    <t>Ya Allah, perbaikilah akhiratku yang kepadanya aku akan kembali</t>
  </si>
  <si>
    <t>Allaahumma-j'alil-hayaata ziyaadatan liy fii kulli khair</t>
  </si>
  <si>
    <t>Ya Allah, jadikanlah kehidupan sebagai tambahan bagiku dalam setiap kebaikan</t>
  </si>
  <si>
    <t>Allaahumma-j'alil-mauta raahatan liy min kulli syarr</t>
  </si>
  <si>
    <t>https://fonntemax-1.github.io/audio-masjid/doa.mp3</t>
  </si>
  <si>
    <t>Ya Allah, jadikanlah kematian sebagai istirahat bagiku dari segala keburukan</t>
  </si>
  <si>
    <t>Allaahumma inniy as-aluka al-'afwa wal-'aafiyata wal-mu'aafaata ad-daa'imata fid-dunyaa wal-aakhirah</t>
  </si>
  <si>
    <t>Ya Allah, aku memohon ampunan, keselamatan, dan kesehatan yang terus-menerus di dunia dan akhirat</t>
  </si>
  <si>
    <t>Allaahumma inniy a'uudzu bika min zawaali ni'matika wa tahawwuli 'aafiyatika wa fujaa-ati niqmatika wa jamii'i sakhatika</t>
  </si>
  <si>
    <t>https://fonntemax-1.github.io/audio-masjid/iqomah.mp3</t>
  </si>
  <si>
    <t>Ya Allah, aku berlindung kepada-Mu dari hilangnya nikmat-Mu, berubahnya keselamatan yang Engkau berikan, datangnya azab-Mu secara tiba-tiba, dan seluruh kemurkaan-Mu</t>
  </si>
  <si>
    <t>Allaahumma inniy as-aluka qalban saliiman wa lisaanan shaadiqan wa 'amalan shaalihan</t>
  </si>
  <si>
    <t>Ya Allah, aku memohon hati yang bersih, lisan yang jujur, dan amal yang saleh</t>
  </si>
  <si>
    <t>Allaahumma inniy a'uudzu bika min suu-il-akhlaaqi wal-a'maali wal-ahwaa'</t>
  </si>
  <si>
    <t>Ya Allah, aku berlindung kepada-Mu dari buruknya akhlak, amal, dan hawa nafsu</t>
  </si>
  <si>
    <t>Allaahumma inniy as-aluka husnal-khaatimah</t>
  </si>
  <si>
    <t>https://fonntemax-1.github.io/audio-masjid/sirine.mp3</t>
  </si>
  <si>
    <t>Ya Allah, aku memohon kepada-Mu akhir kehidupan yang baik</t>
  </si>
  <si>
    <t>Allaahumma inniy as-aluka ridhaaka wal-'afwa wal-'aafiyah</t>
  </si>
  <si>
    <t>Ya Allah, aku memohon keridaan-Mu, ampunan-Mu, dan keselamatan</t>
  </si>
  <si>
    <t>Allaahumma baarik liy fii waqtii wa 'amalii wa rizqiy</t>
  </si>
  <si>
    <t>Ya Allah, berkahilah waktuku, amalku, dan rezekiku</t>
  </si>
  <si>
    <t>Allaahumma ihdinii wa saddidnii</t>
  </si>
  <si>
    <t>https://fonntemax-1.github.io/audio-masjid/doa-puasa.mp3</t>
  </si>
  <si>
    <t>Ya Allah, berilah aku petunjuk dan luruskanlah langkahku</t>
  </si>
  <si>
    <t>Allaahumma qawwiniy 'alaa thaa'atika wa syukrika wa husni 'ibaadatik</t>
  </si>
  <si>
    <t>Ya Allah, kuatkanlah aku untuk taat kepada-Mu, bersyukur kepada-Mu, dan beribadah dengan sebaik-baiknya</t>
  </si>
  <si>
    <t>Allaahumma baarik lanaa fii ahliinaa wa maalinaa wa a'maalinaa</t>
  </si>
  <si>
    <t>Ya Allah, berkahilah keluarga kami, harta kami, dan amal-amal kami</t>
  </si>
  <si>
    <t>https://fonntemax-1.github.io/audio-masjid/doa-buka.mp3</t>
  </si>
  <si>
    <t xml:space="preserve">takbiran </t>
  </si>
  <si>
    <t>Allaahumma ihfazhnii wa ahlii min kulli suu'in wa makruuh</t>
  </si>
  <si>
    <t>1-H Ramadhan  Magrib &amp; Isya mulai 30 menit setelah iqomah</t>
  </si>
  <si>
    <t>takbiran</t>
  </si>
  <si>
    <t>Ya Allah, jagalah aku dan keluargaku dari segala keburukan dan hal yang tidak kami sukai</t>
  </si>
  <si>
    <t>7 +H Syawal  semua Waktu Sholat mulai 30 menit setelah iqomah</t>
  </si>
  <si>
    <t>1-H 10 Dzulhijjah Magrib &amp; Isya mulai 30 menit setelah iqomah</t>
  </si>
  <si>
    <t>7 +H 10 Dzulhijjah  semua Waktu Sholat mulai 30 menit setelah iqomah</t>
  </si>
  <si>
    <t>Takbiran running selama 30 menit</t>
  </si>
  <si>
    <t>https://github.com/fonntemax-1/audio-masjid/blob/main/Screenshot%202026-09-27%20062420.png</t>
  </si>
  <si>
    <t>Saat Takbiran ON yotube / Video kondisi Mute, setelah takbiran selesai youtube auto Unmute</t>
  </si>
  <si>
    <t>https://fonntemax-1.github.io/audio-masjid/Screenshot%202026-09-27%20062420.png</t>
  </si>
  <si>
    <t xml:space="preserve">sirine </t>
  </si>
  <si>
    <t>Khusus bulan Subuh &amp; Maghrib Bulan Ramadhan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</si>
</sst>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&quot; &quot;mmmm&quot; &quot;yyyy"/>
    <numFmt numFmtId="165" formatCode="dd/MM/yyyy"/>
    <numFmt numFmtId="166" formatCode="d mmmm yyyy"/>
  </numFmts>
  <fonts count="16">
    <font>
      <sz val="10.0"/>
      <color rgb="FF000000"/>
      <name val="Arial"/>
      <scheme val="minor"/>
    </font>
    <font>
      <b/>
      <sz val="13.0"/>
      <color theme="1"/>
      <name val="Arial"/>
    </font>
    <font>
      <b/>
      <sz val="12.0"/>
      <color theme="1"/>
      <name val="Arial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1.0"/>
      <color theme="1"/>
      <name val="Aptos Narrow"/>
    </font>
    <font>
      <sz val="11.0"/>
      <color theme="1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color theme="1"/>
      <name val="Arial"/>
    </font>
    <font>
      <u/>
      <color rgb="FF0000FF"/>
    </font>
    <font>
      <b/>
      <color rgb="FF351C75"/>
      <name val="Arial"/>
      <scheme val="minor"/>
    </font>
    <font>
      <i/>
      <color theme="1"/>
      <name val="Arial"/>
      <scheme val="minor"/>
    </font>
    <font>
      <u/>
      <color rgb="FF0000FF"/>
    </font>
  </fonts>
  <fills count="9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</fills>
  <borders count="27">
    <border/>
    <border>
      <left style="dotted">
        <color rgb="FF0000FF"/>
      </left>
      <top style="dotted">
        <color rgb="FF0000FF"/>
      </top>
    </border>
    <border>
      <right style="dotted">
        <color rgb="FF0000FF"/>
      </right>
      <top style="dotted">
        <color rgb="FF0000FF"/>
      </top>
    </border>
    <border>
      <left style="dotted">
        <color rgb="FF0000FF"/>
      </left>
    </border>
    <border>
      <right style="dotted">
        <color rgb="FF0000FF"/>
      </right>
    </border>
    <border>
      <left style="dotted">
        <color rgb="FF0000FF"/>
      </left>
      <bottom style="dotted">
        <color rgb="FF0000FF"/>
      </bottom>
    </border>
    <border>
      <right style="dotted">
        <color rgb="FF0000FF"/>
      </right>
      <bottom style="dotted">
        <color rgb="FF0000FF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E6EFFD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E6EFFD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E6EFFD"/>
      </left>
      <right style="thin">
        <color rgb="FF000000"/>
      </right>
    </border>
    <border>
      <right style="thin">
        <color rgb="FFE6EFFD"/>
      </right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E6EFFD"/>
      </left>
      <right style="thin">
        <color rgb="FF000000"/>
      </right>
      <bottom style="thin">
        <color rgb="FF000000"/>
      </bottom>
    </border>
    <border>
      <right style="thin">
        <color rgb="FFE6EFFD"/>
      </right>
      <bottom style="thin">
        <color rgb="FF000000"/>
      </bottom>
    </border>
    <border>
      <bottom style="thin">
        <color rgb="FF000000"/>
      </bottom>
    </border>
    <border>
      <left style="thin">
        <color rgb="FFE6EFFD"/>
      </left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bottom"/>
    </xf>
    <xf borderId="0" fillId="0" fontId="2" numFmtId="0" xfId="0" applyAlignment="1" applyFont="1">
      <alignment readingOrder="0" vertical="bottom"/>
    </xf>
    <xf borderId="1" fillId="2" fontId="3" numFmtId="0" xfId="0" applyAlignment="1" applyBorder="1" applyFill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6" numFmtId="164" xfId="0" applyAlignment="1" applyFont="1" applyNumberFormat="1">
      <alignment horizontal="left" readingOrder="0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horizontal="center" readingOrder="0" vertical="bottom"/>
    </xf>
    <xf borderId="0" fillId="0" fontId="9" numFmtId="0" xfId="0" applyAlignment="1" applyFont="1">
      <alignment readingOrder="0" vertical="bottom"/>
    </xf>
    <xf borderId="0" fillId="0" fontId="10" numFmtId="4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8" numFmtId="0" xfId="0" applyAlignment="1" applyFont="1">
      <alignment vertical="bottom"/>
    </xf>
    <xf borderId="2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0" fillId="0" fontId="6" numFmtId="0" xfId="0" applyFont="1"/>
    <xf borderId="4" fillId="0" fontId="7" numFmtId="0" xfId="0" applyAlignment="1" applyBorder="1" applyFont="1">
      <alignment readingOrder="0"/>
    </xf>
    <xf borderId="0" fillId="0" fontId="9" numFmtId="0" xfId="0" applyAlignment="1" applyFont="1">
      <alignment vertical="bottom"/>
    </xf>
    <xf borderId="0" fillId="0" fontId="9" numFmtId="4" xfId="0" applyAlignment="1" applyFont="1" applyNumberFormat="1">
      <alignment horizontal="right" vertical="bottom"/>
    </xf>
    <xf borderId="5" fillId="0" fontId="3" numFmtId="0" xfId="0" applyAlignment="1" applyBorder="1" applyFont="1">
      <alignment readingOrder="0"/>
    </xf>
    <xf borderId="6" fillId="0" fontId="7" numFmtId="0" xfId="0" applyAlignment="1" applyBorder="1" applyFont="1">
      <alignment readingOrder="0"/>
    </xf>
    <xf borderId="0" fillId="2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8" numFmtId="4" xfId="0" applyAlignment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0" fillId="0" fontId="7" numFmtId="0" xfId="0" applyAlignment="1" applyFont="1">
      <alignment shrinkToFit="0" wrapText="1"/>
    </xf>
    <xf borderId="7" fillId="2" fontId="3" numFmtId="0" xfId="0" applyAlignment="1" applyBorder="1" applyFill="1" applyFont="1">
      <alignment readingOrder="0"/>
    </xf>
    <xf borderId="8" fillId="4" fontId="13" numFmtId="0" xfId="0" applyAlignment="1" applyBorder="1" applyFill="1" applyFont="1">
      <alignment horizontal="center" readingOrder="0" shrinkToFit="0" wrapText="0"/>
    </xf>
    <xf borderId="9" fillId="0" fontId="7" numFmtId="0" xfId="0" applyBorder="1" applyFont="1"/>
    <xf borderId="10" fillId="0" fontId="7" numFmtId="164" xfId="0" applyAlignment="1" applyBorder="1" applyFont="1" applyNumberFormat="1">
      <alignment horizontal="left" readingOrder="0"/>
    </xf>
    <xf borderId="0" fillId="0" fontId="7" numFmtId="165" xfId="0" applyFont="1" applyNumberFormat="1"/>
    <xf borderId="10" fillId="0" fontId="9" numFmtId="0" xfId="0" applyAlignment="1" applyBorder="1" applyFont="1">
      <alignment readingOrder="0" vertical="bottom"/>
    </xf>
    <xf borderId="11" fillId="0" fontId="9" numFmtId="0" xfId="0" applyAlignment="1" applyBorder="1" applyFont="1">
      <alignment horizontal="left" readingOrder="0" vertical="bottom"/>
    </xf>
    <xf borderId="0" fillId="0" fontId="9" numFmtId="166" xfId="0" applyAlignment="1" applyFont="1" applyNumberFormat="1">
      <alignment horizontal="left" readingOrder="0" vertical="bottom"/>
    </xf>
    <xf borderId="0" fillId="0" fontId="14" numFmtId="0" xfId="0" applyFont="1"/>
    <xf borderId="0" fillId="0" fontId="14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11" fillId="0" fontId="9" numFmtId="4" xfId="0" applyAlignment="1" applyBorder="1" applyFont="1" applyNumberFormat="1">
      <alignment readingOrder="0" vertical="bottom"/>
    </xf>
    <xf borderId="0" fillId="0" fontId="9" numFmtId="4" xfId="0" applyAlignment="1" applyFont="1" applyNumberFormat="1">
      <alignment readingOrder="0" vertical="bottom"/>
    </xf>
    <xf borderId="0" fillId="0" fontId="14" numFmtId="0" xfId="0" applyAlignment="1" applyFont="1">
      <alignment readingOrder="0"/>
    </xf>
    <xf borderId="12" fillId="0" fontId="9" numFmtId="0" xfId="0" applyAlignment="1" applyBorder="1" applyFont="1">
      <alignment readingOrder="0" vertical="bottom"/>
    </xf>
    <xf borderId="13" fillId="0" fontId="9" numFmtId="0" xfId="0" applyAlignment="1" applyBorder="1" applyFont="1">
      <alignment horizontal="left" readingOrder="0" vertical="bottom"/>
    </xf>
    <xf borderId="8" fillId="2" fontId="3" numFmtId="0" xfId="0" applyAlignment="1" applyBorder="1" applyFill="1" applyFont="1">
      <alignment readingOrder="0"/>
    </xf>
    <xf borderId="10" fillId="0" fontId="7" numFmtId="0" xfId="0" applyAlignment="1" applyBorder="1" applyFont="1">
      <alignment readingOrder="0"/>
    </xf>
    <xf borderId="10" fillId="0" fontId="7" numFmtId="0" xfId="0" applyAlignment="1" applyBorder="1" applyFont="1">
      <alignment readingOrder="0" shrinkToFit="0" wrapText="1"/>
    </xf>
    <xf borderId="12" fillId="0" fontId="7" numFmtId="0" xfId="0" applyAlignment="1" applyBorder="1" applyFont="1">
      <alignment readingOrder="0"/>
    </xf>
    <xf borderId="7" fillId="5" fontId="3" numFmtId="0" xfId="0" applyAlignment="1" applyBorder="1" applyFill="1" applyFont="1">
      <alignment horizontal="center" readingOrder="0"/>
    </xf>
    <xf borderId="14" fillId="5" fontId="3" numFmtId="0" xfId="0" applyAlignment="1" applyBorder="1" applyFill="1" applyFont="1">
      <alignment horizontal="center" readingOrder="0"/>
    </xf>
    <xf borderId="15" fillId="5" fontId="3" numFmtId="0" xfId="0" applyAlignment="1" applyBorder="1" applyFill="1" applyFont="1">
      <alignment horizontal="center" readingOrder="0"/>
    </xf>
    <xf borderId="16" fillId="5" fontId="3" numFmtId="0" xfId="0" applyAlignment="1" applyBorder="1" applyFill="1" applyFont="1">
      <alignment horizontal="center" readingOrder="0"/>
    </xf>
    <xf borderId="17" fillId="5" fontId="3" numFmtId="0" xfId="0" applyAlignment="1" applyBorder="1" applyFill="1" applyFont="1">
      <alignment horizontal="center" readingOrder="0"/>
    </xf>
    <xf borderId="8" fillId="5" fontId="3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 readingOrder="0"/>
    </xf>
    <xf borderId="18" fillId="0" fontId="7" numFmtId="0" xfId="0" applyAlignment="1" applyBorder="1" applyFont="1">
      <alignment horizontal="left" readingOrder="0"/>
    </xf>
    <xf borderId="19" fillId="0" fontId="7" numFmtId="0" xfId="0" applyAlignment="1" applyBorder="1" applyFont="1">
      <alignment horizontal="left" readingOrder="0"/>
    </xf>
    <xf borderId="20" fillId="0" fontId="7" numFmtId="0" xfId="0" applyAlignment="1" applyBorder="1" applyFont="1">
      <alignment horizontal="left" readingOrder="0"/>
    </xf>
    <xf borderId="11" fillId="0" fontId="7" numFmtId="0" xfId="0" applyAlignment="1" applyBorder="1" applyFont="1">
      <alignment horizontal="left" readingOrder="0"/>
    </xf>
    <xf borderId="21" fillId="0" fontId="7" numFmtId="0" xfId="0" applyAlignment="1" applyBorder="1" applyFont="1">
      <alignment horizontal="left" readingOrder="0"/>
    </xf>
    <xf borderId="18" fillId="0" fontId="7" numFmtId="0" xfId="0" applyAlignment="1" applyBorder="1" applyFont="1">
      <alignment readingOrder="0"/>
    </xf>
    <xf borderId="11" fillId="0" fontId="7" numFmtId="0" xfId="0" applyBorder="1" applyFont="1"/>
    <xf borderId="0" fillId="6" fontId="3" numFmtId="0" xfId="0" applyAlignment="1" applyFill="1" applyFont="1">
      <alignment readingOrder="0"/>
    </xf>
    <xf borderId="0" fillId="6" fontId="3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20" fillId="0" fontId="7" numFmtId="0" xfId="0" applyBorder="1" applyFont="1"/>
    <xf borderId="18" fillId="0" fontId="7" numFmtId="0" xfId="0" applyBorder="1" applyFont="1"/>
    <xf borderId="22" fillId="0" fontId="7" numFmtId="0" xfId="0" applyAlignment="1" applyBorder="1" applyFont="1">
      <alignment horizontal="left" readingOrder="0"/>
    </xf>
    <xf borderId="23" fillId="0" fontId="7" numFmtId="0" xfId="0" applyAlignment="1" applyBorder="1" applyFont="1">
      <alignment horizontal="left" readingOrder="0"/>
    </xf>
    <xf borderId="24" fillId="0" fontId="7" numFmtId="0" xfId="0" applyBorder="1" applyFont="1"/>
    <xf borderId="13" fillId="0" fontId="7" numFmtId="0" xfId="0" applyBorder="1" applyFont="1"/>
    <xf borderId="22" fillId="0" fontId="7" numFmtId="0" xfId="0" applyBorder="1" applyFont="1"/>
    <xf borderId="25" fillId="0" fontId="7" numFmtId="0" xfId="0" applyBorder="1" applyFont="1"/>
    <xf borderId="26" fillId="0" fontId="7" numFmtId="0" xfId="0" applyAlignment="1" applyBorder="1" applyFont="1">
      <alignment horizontal="left" readingOrder="0"/>
    </xf>
    <xf borderId="7" fillId="8" fontId="3" numFmtId="0" xfId="0" applyAlignment="1" applyBorder="1" applyFill="1" applyFont="1">
      <alignment horizontal="center" readingOrder="0"/>
    </xf>
    <xf borderId="8" fillId="8" fontId="3" numFmtId="0" xfId="0" applyAlignment="1" applyBorder="1" applyFill="1" applyFont="1">
      <alignment horizontal="center" readingOrder="0"/>
    </xf>
    <xf borderId="0" fillId="0" fontId="15" numFmtId="0" xfId="0" applyAlignment="1" applyFont="1">
      <alignment readingOrder="0"/>
    </xf>
    <xf borderId="16" fillId="8" fontId="3" numFmtId="0" xfId="0" applyAlignment="1" applyBorder="1" applyFill="1" applyFont="1">
      <alignment horizontal="center" readingOrder="0"/>
    </xf>
    <xf borderId="22" fillId="5" fontId="7" numFmtId="0" xfId="0" applyAlignment="1" applyBorder="1" applyFill="1" applyFont="1">
      <alignment readingOrder="0"/>
    </xf>
    <xf borderId="12" fillId="0" fontId="7" numFmtId="164" xfId="0" applyAlignment="1" applyBorder="1" applyFont="1" applyNumberFormat="1">
      <alignment horizontal="left" readingOrder="0"/>
    </xf>
    <xf borderId="13" fillId="0" fontId="7" numFmtId="0" xfId="0" applyAlignment="1" applyBorder="1" applyFont="1">
      <alignment horizontal="left"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horizontal="center"/>
    </xf>
  </cellXfs>
  <cellStyles count="1">
    <cellStyle xfId="0" name="Normal" builtinId="0"/>
  </cellStyles>
  <dxfs count="4">
    <dxf>
      <font>
        <color theme="1"/>
      </font>
      <fill>
        <patternFill patternType="solid">
          <fgColor rgb="FFB7E1CD"/>
          <bgColor rgb="FFB7E1CD"/>
        </patternFill>
      </fill>
      <border/>
    </dxf>
    <dxf>
      <font>
        <color theme="1"/>
      </font>
      <fill>
        <patternFill patternType="solid">
          <fgColor rgb="FFFFF2CC"/>
          <bgColor rgb="FFFFF2CC"/>
        </patternFill>
      </fill>
      <border/>
    </dxf>
    <dxf>
      <font>
        <color theme="1"/>
      </font>
      <fill>
        <patternFill patternType="solid">
          <fgColor rgb="FFBCD1E5"/>
          <bgColor rgb="FFBCD1E5"/>
        </patternFill>
      </fill>
      <border/>
    </dxf>
    <dxf>
      <font>
        <color theme="1"/>
      </font>
      <fill>
        <patternFill patternType="solid">
          <fgColor rgb="FFF4F890"/>
          <bgColor rgb="FFF4F89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ONavaMiwSs" TargetMode="External"/><Relationship Id="rId2" Type="http://schemas.openxmlformats.org/officeDocument/2006/relationships/hyperlink" Target="https://www.youtube.com/watch?v=ZONavaMiwSs" TargetMode="External"/><Relationship Id="rId3" Type="http://schemas.openxmlformats.org/officeDocument/2006/relationships/hyperlink" Target="https://www.youtube.com/watch?v=KAiQOtHtX6Y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fonntemax-1.github.io/audio-masjid/iqomah.mp3" TargetMode="External"/><Relationship Id="rId10" Type="http://schemas.openxmlformats.org/officeDocument/2006/relationships/hyperlink" Target="https://fonntemax-1.github.io/audio-masjid/doa.mp3" TargetMode="External"/><Relationship Id="rId13" Type="http://schemas.openxmlformats.org/officeDocument/2006/relationships/hyperlink" Target="https://fonntemax-1.github.io/audio-masjid/doa-puasa.mp3" TargetMode="External"/><Relationship Id="rId12" Type="http://schemas.openxmlformats.org/officeDocument/2006/relationships/hyperlink" Target="https://fonntemax-1.github.io/audio-masjid/sirine.mp3" TargetMode="External"/><Relationship Id="rId1" Type="http://schemas.openxmlformats.org/officeDocument/2006/relationships/hyperlink" Target="https://fonntemax-1.github.io/audio-masjid/Shalawat%20Tarhim.mp3" TargetMode="External"/><Relationship Id="rId2" Type="http://schemas.openxmlformats.org/officeDocument/2006/relationships/hyperlink" Target="https://fonntemax-1.github.io/audio-masjid/Shalawat%20Tarhim.mp3" TargetMode="External"/><Relationship Id="rId3" Type="http://schemas.openxmlformats.org/officeDocument/2006/relationships/hyperlink" Target="https://fonntemax-1.github.io/audio-masjid/Shalawat%20Tarhim.mp3" TargetMode="External"/><Relationship Id="rId4" Type="http://schemas.openxmlformats.org/officeDocument/2006/relationships/hyperlink" Target="https://fonntemax-1.github.io/audio-masjid/Shalawat%20Tarhim.mp3" TargetMode="External"/><Relationship Id="rId9" Type="http://schemas.openxmlformats.org/officeDocument/2006/relationships/hyperlink" Target="https://fonntemax-1.github.io/audio-masjid/adzan-biasa.mp3" TargetMode="External"/><Relationship Id="rId15" Type="http://schemas.openxmlformats.org/officeDocument/2006/relationships/hyperlink" Target="https://fonntemax-1.github.io/audio-masjid/iqomah.mp3" TargetMode="External"/><Relationship Id="rId14" Type="http://schemas.openxmlformats.org/officeDocument/2006/relationships/hyperlink" Target="https://fonntemax-1.github.io/audio-masjid/doa.mp3" TargetMode="External"/><Relationship Id="rId17" Type="http://schemas.openxmlformats.org/officeDocument/2006/relationships/hyperlink" Target="https://fonntemax-1.github.io/audio-masjid/Screenshot%202026-09-27%20062420.png" TargetMode="External"/><Relationship Id="rId16" Type="http://schemas.openxmlformats.org/officeDocument/2006/relationships/hyperlink" Target="https://github.com/fonntemax-1/audio-masjid/blob/main/Screenshot%202026-09-27%20062420.png" TargetMode="External"/><Relationship Id="rId5" Type="http://schemas.openxmlformats.org/officeDocument/2006/relationships/hyperlink" Target="https://fonntemax-1.github.io/audio-masjid/Shalawat%20Tarhim.mp3" TargetMode="External"/><Relationship Id="rId6" Type="http://schemas.openxmlformats.org/officeDocument/2006/relationships/hyperlink" Target="https://fonntemax-1.github.io/audio-masjid/Shalawat%20Tarhim.mp3" TargetMode="External"/><Relationship Id="rId18" Type="http://schemas.openxmlformats.org/officeDocument/2006/relationships/drawing" Target="../drawings/drawing6.xml"/><Relationship Id="rId7" Type="http://schemas.openxmlformats.org/officeDocument/2006/relationships/hyperlink" Target="https://fonntemax-1.github.io/audio-masjid/beep.mp3" TargetMode="External"/><Relationship Id="rId8" Type="http://schemas.openxmlformats.org/officeDocument/2006/relationships/hyperlink" Target="https://fonntemax-1.github.io/audio-masjid/adzan-subuh.mp3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5.88"/>
    <col customWidth="1" min="2" max="2" width="27.5"/>
    <col customWidth="1" min="3" max="3" width="20.75"/>
    <col customWidth="1" min="4" max="4" width="15.13"/>
    <col customWidth="1" min="5" max="5" width="13.75"/>
    <col customWidth="1" min="6" max="6" width="11.63"/>
    <col customWidth="1" min="7" max="7" width="12.0"/>
    <col customWidth="1" min="8" max="8" width="10.13"/>
    <col customWidth="1" min="9" max="9" width="8.38"/>
    <col customWidth="1" min="10" max="10" width="18.0"/>
    <col customWidth="1" min="11" max="11" width="8.38"/>
    <col customWidth="1" min="12" max="12" width="14.88"/>
    <col customWidth="1" min="13" max="13" width="8.38"/>
    <col customWidth="1" min="15" max="15" width="8.38"/>
    <col customWidth="1" min="16" max="16" width="10.13"/>
    <col customWidth="1" min="17" max="17" width="8.38"/>
  </cols>
  <sheetData>
    <row r="5">
      <c r="B5" s="3" t="s">
        <v>0</v>
      </c>
      <c r="C5" s="18" t="s">
        <v>76</v>
      </c>
    </row>
    <row r="6">
      <c r="B6" s="19" t="s">
        <v>91</v>
      </c>
      <c r="C6" s="21" t="s">
        <v>97</v>
      </c>
    </row>
    <row r="7">
      <c r="B7" s="19" t="s">
        <v>101</v>
      </c>
      <c r="C7" s="21" t="s">
        <v>103</v>
      </c>
    </row>
    <row r="8">
      <c r="B8" s="19" t="s">
        <v>105</v>
      </c>
      <c r="C8" s="21" t="s">
        <v>106</v>
      </c>
    </row>
    <row r="9">
      <c r="B9" s="19" t="s">
        <v>109</v>
      </c>
      <c r="C9" s="21" t="s">
        <v>110</v>
      </c>
    </row>
    <row r="10">
      <c r="B10" s="24" t="s">
        <v>113</v>
      </c>
      <c r="C10" s="25" t="s">
        <v>117</v>
      </c>
    </row>
    <row r="12">
      <c r="B12" s="26" t="s">
        <v>123</v>
      </c>
      <c r="C12" s="7" t="s">
        <v>126</v>
      </c>
    </row>
    <row r="13">
      <c r="B13" s="27" t="s">
        <v>129</v>
      </c>
      <c r="C13" s="7" t="s">
        <v>131</v>
      </c>
    </row>
    <row r="14">
      <c r="B14" s="27" t="s">
        <v>0</v>
      </c>
      <c r="C14" s="7" t="s">
        <v>135</v>
      </c>
    </row>
    <row r="15">
      <c r="B15" s="27" t="s">
        <v>138</v>
      </c>
      <c r="C15" s="7" t="s">
        <v>139</v>
      </c>
    </row>
    <row r="16">
      <c r="B16" s="27" t="s">
        <v>141</v>
      </c>
      <c r="C16" s="7" t="s">
        <v>142</v>
      </c>
    </row>
    <row r="18">
      <c r="B18" s="26" t="s">
        <v>143</v>
      </c>
      <c r="C18" s="7" t="s">
        <v>144</v>
      </c>
    </row>
    <row r="20">
      <c r="B20" s="26" t="s">
        <v>145</v>
      </c>
      <c r="C20" s="29" t="s">
        <v>146</v>
      </c>
      <c r="D20" s="7"/>
      <c r="E20" s="7"/>
      <c r="G20" s="7" t="s">
        <v>149</v>
      </c>
      <c r="N20" s="29" t="s">
        <v>146</v>
      </c>
    </row>
    <row r="22">
      <c r="B22" s="26" t="s">
        <v>150</v>
      </c>
      <c r="C22" s="7" t="s">
        <v>152</v>
      </c>
      <c r="N22" s="29" t="s">
        <v>153</v>
      </c>
    </row>
    <row r="24">
      <c r="A24" s="7"/>
      <c r="B24" s="26" t="s">
        <v>154</v>
      </c>
      <c r="G24" s="7" t="s">
        <v>152</v>
      </c>
    </row>
    <row r="25">
      <c r="J25" s="30"/>
    </row>
    <row r="26">
      <c r="B26" s="26" t="s">
        <v>155</v>
      </c>
      <c r="C26" s="7" t="s">
        <v>156</v>
      </c>
      <c r="J26" s="30"/>
    </row>
    <row r="27">
      <c r="J27" s="30"/>
    </row>
    <row r="28">
      <c r="B28" s="31" t="s">
        <v>157</v>
      </c>
      <c r="C28" s="32" t="s">
        <v>158</v>
      </c>
    </row>
    <row r="29">
      <c r="B29" s="33" t="str">
        <f>IF($C$28="SHOLAT JUM'AT","Tanggal",IF($C$28="SHOLAT TARAWIH","Tanggal",IF($C$28="SHOLAT IDUL FITRI","Tanggal",IF($C$28="SHOLAT IDUL ADHA","Tanggal",""))))</f>
        <v>Tanggal</v>
      </c>
      <c r="C29" s="34">
        <v>46326.0</v>
      </c>
      <c r="D29" s="35"/>
    </row>
    <row r="30">
      <c r="B30" s="36" t="str">
        <f>IF($C$28="SHOLAT JUM'AT","Khatib",IF($C$28="SHOLAT TARAWIH","Imam",IF($C$28="SHOLAT IDUL FITRI","Khatib",IF($C$28="SHOLAT IDUL ADHA","Khatib",""))))</f>
        <v>Khatib</v>
      </c>
      <c r="C30" s="37" t="s">
        <v>159</v>
      </c>
      <c r="E30" s="22"/>
      <c r="F30" s="38"/>
      <c r="I30" s="22"/>
      <c r="J30" s="38"/>
    </row>
    <row r="31">
      <c r="B31" s="36" t="str">
        <f>IF($C$28="SHOLAT JUM'AT","Imam",IF($C$28="SHOLAT TARAWIH","Bilal",IF($C$28="SHOLAT IDUL FITRI","Imam",IF($C$28="SHOLAT IDUL ADHA","Imam",""))))</f>
        <v>Imam</v>
      </c>
      <c r="C31" s="42" t="s">
        <v>161</v>
      </c>
      <c r="E31" s="22"/>
      <c r="F31" s="43"/>
      <c r="I31" s="22"/>
      <c r="J31" s="43"/>
    </row>
    <row r="32">
      <c r="B32" s="45" t="str">
        <f>IF($C$28="SHOLAT JUM'AT","Bilal",IF($C$28="SHOLAT TARAWIH","Kultum",IF($C$28="SHOLAT IDUL FITRI","Bilal",IF($C$28="SHOLAT IDUL ADHA","Bilal",""))))</f>
        <v>Bilal</v>
      </c>
      <c r="C32" s="46" t="s">
        <v>165</v>
      </c>
      <c r="E32" s="22"/>
      <c r="F32" s="43"/>
      <c r="I32" s="11"/>
      <c r="J32" s="43"/>
    </row>
    <row r="33">
      <c r="B33" s="22"/>
      <c r="C33" s="43"/>
      <c r="E33" s="22"/>
      <c r="F33" s="43"/>
    </row>
    <row r="34">
      <c r="B34" s="47" t="s">
        <v>168</v>
      </c>
    </row>
    <row r="35">
      <c r="B35" s="48" t="s">
        <v>170</v>
      </c>
    </row>
    <row r="36">
      <c r="B36" s="49" t="s">
        <v>172</v>
      </c>
    </row>
    <row r="37">
      <c r="B37" s="49" t="s">
        <v>174</v>
      </c>
    </row>
    <row r="38">
      <c r="B38" s="49" t="s">
        <v>175</v>
      </c>
    </row>
    <row r="39">
      <c r="B39" s="50"/>
    </row>
    <row r="41">
      <c r="B41" s="27" t="s">
        <v>178</v>
      </c>
      <c r="C41" s="7" t="s">
        <v>149</v>
      </c>
    </row>
    <row r="42">
      <c r="B42" s="7" t="s">
        <v>181</v>
      </c>
      <c r="C42" s="7" t="s">
        <v>182</v>
      </c>
    </row>
    <row r="43">
      <c r="B43" s="7" t="s">
        <v>183</v>
      </c>
      <c r="C43" s="7" t="s">
        <v>126</v>
      </c>
    </row>
    <row r="45">
      <c r="B45" s="51" t="s">
        <v>186</v>
      </c>
      <c r="C45" s="52" t="s">
        <v>188</v>
      </c>
      <c r="D45" s="53" t="s">
        <v>190</v>
      </c>
      <c r="E45" s="54" t="s">
        <v>188</v>
      </c>
      <c r="F45" s="55" t="s">
        <v>193</v>
      </c>
      <c r="G45" s="56" t="s">
        <v>188</v>
      </c>
      <c r="H45" s="51" t="s">
        <v>196</v>
      </c>
      <c r="I45" s="54" t="s">
        <v>188</v>
      </c>
      <c r="J45" s="55" t="s">
        <v>197</v>
      </c>
      <c r="K45" s="54" t="s">
        <v>188</v>
      </c>
      <c r="L45" s="55" t="s">
        <v>199</v>
      </c>
      <c r="M45" s="54" t="s">
        <v>188</v>
      </c>
      <c r="N45" s="55" t="s">
        <v>200</v>
      </c>
      <c r="O45" s="54" t="s">
        <v>188</v>
      </c>
      <c r="P45" s="55" t="s">
        <v>202</v>
      </c>
      <c r="Q45" s="54" t="s">
        <v>188</v>
      </c>
    </row>
    <row r="46">
      <c r="A46" s="57"/>
      <c r="B46" s="58" t="s">
        <v>204</v>
      </c>
      <c r="C46" s="59" t="s">
        <v>206</v>
      </c>
      <c r="D46" s="60" t="s">
        <v>207</v>
      </c>
      <c r="E46" s="61" t="s">
        <v>206</v>
      </c>
      <c r="F46" s="62" t="s">
        <v>210</v>
      </c>
      <c r="G46" s="57" t="s">
        <v>206</v>
      </c>
      <c r="H46" s="58" t="s">
        <v>210</v>
      </c>
      <c r="I46" s="61" t="s">
        <v>206</v>
      </c>
      <c r="J46" s="57" t="s">
        <v>213</v>
      </c>
      <c r="K46" s="61" t="s">
        <v>206</v>
      </c>
      <c r="L46" s="57" t="s">
        <v>214</v>
      </c>
      <c r="M46" s="61" t="s">
        <v>206</v>
      </c>
      <c r="N46" s="57" t="s">
        <v>213</v>
      </c>
      <c r="O46" s="61" t="s">
        <v>206</v>
      </c>
      <c r="P46" s="57" t="s">
        <v>213</v>
      </c>
      <c r="Q46" s="61" t="s">
        <v>206</v>
      </c>
    </row>
    <row r="47">
      <c r="A47" s="57"/>
      <c r="B47" s="58" t="s">
        <v>217</v>
      </c>
      <c r="C47" s="59" t="s">
        <v>206</v>
      </c>
      <c r="D47" s="60" t="s">
        <v>217</v>
      </c>
      <c r="E47" s="61" t="s">
        <v>206</v>
      </c>
      <c r="F47" s="58" t="s">
        <v>217</v>
      </c>
      <c r="G47" s="57" t="s">
        <v>206</v>
      </c>
      <c r="H47" s="58" t="s">
        <v>217</v>
      </c>
      <c r="I47" s="61" t="s">
        <v>206</v>
      </c>
      <c r="J47" s="57" t="s">
        <v>217</v>
      </c>
      <c r="K47" s="61" t="s">
        <v>206</v>
      </c>
      <c r="L47" s="57" t="s">
        <v>217</v>
      </c>
      <c r="M47" s="61" t="s">
        <v>206</v>
      </c>
      <c r="N47" s="57" t="s">
        <v>217</v>
      </c>
      <c r="O47" s="61" t="s">
        <v>206</v>
      </c>
      <c r="P47" s="57" t="s">
        <v>220</v>
      </c>
      <c r="Q47" s="61" t="s">
        <v>206</v>
      </c>
    </row>
    <row r="48">
      <c r="A48" s="7"/>
      <c r="B48" s="63" t="s">
        <v>221</v>
      </c>
      <c r="C48" s="59" t="s">
        <v>206</v>
      </c>
      <c r="D48" s="60" t="s">
        <v>223</v>
      </c>
      <c r="E48" s="61" t="s">
        <v>206</v>
      </c>
      <c r="F48" s="58" t="s">
        <v>223</v>
      </c>
      <c r="G48" s="57" t="s">
        <v>206</v>
      </c>
      <c r="H48" s="58" t="s">
        <v>223</v>
      </c>
      <c r="I48" s="61" t="s">
        <v>206</v>
      </c>
      <c r="J48" s="57" t="s">
        <v>221</v>
      </c>
      <c r="K48" s="61" t="s">
        <v>206</v>
      </c>
      <c r="L48" s="57" t="s">
        <v>223</v>
      </c>
      <c r="M48" s="61" t="s">
        <v>206</v>
      </c>
      <c r="N48" s="57" t="s">
        <v>223</v>
      </c>
      <c r="O48" s="61" t="s">
        <v>206</v>
      </c>
      <c r="P48" s="57"/>
      <c r="Q48" s="64"/>
    </row>
    <row r="49">
      <c r="A49" s="57"/>
      <c r="B49" s="58" t="s">
        <v>227</v>
      </c>
      <c r="C49" s="59" t="s">
        <v>206</v>
      </c>
      <c r="D49" s="60" t="s">
        <v>229</v>
      </c>
      <c r="E49" s="61" t="s">
        <v>206</v>
      </c>
      <c r="F49" s="58" t="s">
        <v>220</v>
      </c>
      <c r="G49" s="57" t="s">
        <v>206</v>
      </c>
      <c r="H49" s="58" t="s">
        <v>220</v>
      </c>
      <c r="I49" s="61" t="s">
        <v>206</v>
      </c>
      <c r="J49" s="57" t="s">
        <v>232</v>
      </c>
      <c r="K49" s="61" t="s">
        <v>206</v>
      </c>
      <c r="L49" s="57" t="s">
        <v>220</v>
      </c>
      <c r="M49" s="61" t="s">
        <v>206</v>
      </c>
      <c r="N49" s="57" t="s">
        <v>220</v>
      </c>
      <c r="O49" s="61" t="s">
        <v>206</v>
      </c>
      <c r="P49" s="57"/>
      <c r="Q49" s="64"/>
    </row>
    <row r="50">
      <c r="A50" s="57"/>
      <c r="B50" s="58" t="s">
        <v>217</v>
      </c>
      <c r="C50" s="59" t="s">
        <v>206</v>
      </c>
      <c r="D50" s="60" t="s">
        <v>233</v>
      </c>
      <c r="E50" s="61" t="s">
        <v>206</v>
      </c>
      <c r="F50" s="58" t="s">
        <v>233</v>
      </c>
      <c r="G50" s="57" t="s">
        <v>206</v>
      </c>
      <c r="H50" s="58" t="s">
        <v>233</v>
      </c>
      <c r="I50" s="61" t="s">
        <v>206</v>
      </c>
      <c r="J50" s="57" t="s">
        <v>223</v>
      </c>
      <c r="K50" s="61" t="s">
        <v>206</v>
      </c>
      <c r="L50" s="57" t="s">
        <v>233</v>
      </c>
      <c r="M50" s="61" t="s">
        <v>206</v>
      </c>
      <c r="N50" s="57" t="s">
        <v>233</v>
      </c>
      <c r="O50" s="61" t="s">
        <v>206</v>
      </c>
      <c r="P50" s="57"/>
      <c r="Q50" s="64"/>
    </row>
    <row r="51">
      <c r="A51" s="57"/>
      <c r="B51" s="58" t="s">
        <v>223</v>
      </c>
      <c r="C51" s="59" t="s">
        <v>206</v>
      </c>
      <c r="D51" s="60" t="s">
        <v>223</v>
      </c>
      <c r="E51" s="61" t="s">
        <v>206</v>
      </c>
      <c r="F51" s="58" t="s">
        <v>223</v>
      </c>
      <c r="G51" s="57" t="s">
        <v>206</v>
      </c>
      <c r="H51" s="58" t="s">
        <v>223</v>
      </c>
      <c r="I51" s="61" t="s">
        <v>206</v>
      </c>
      <c r="J51" s="57" t="s">
        <v>220</v>
      </c>
      <c r="K51" s="61" t="s">
        <v>206</v>
      </c>
      <c r="L51" s="57" t="s">
        <v>223</v>
      </c>
      <c r="M51" s="61" t="s">
        <v>206</v>
      </c>
      <c r="N51" s="57" t="s">
        <v>223</v>
      </c>
      <c r="O51" s="61" t="s">
        <v>206</v>
      </c>
      <c r="P51" s="57"/>
      <c r="Q51" s="64"/>
    </row>
    <row r="52">
      <c r="A52" s="57"/>
      <c r="B52" s="58" t="s">
        <v>229</v>
      </c>
      <c r="C52" s="59" t="s">
        <v>206</v>
      </c>
      <c r="D52" s="60" t="s">
        <v>237</v>
      </c>
      <c r="E52" s="61" t="s">
        <v>206</v>
      </c>
      <c r="F52" s="58" t="s">
        <v>237</v>
      </c>
      <c r="G52" s="57" t="s">
        <v>206</v>
      </c>
      <c r="H52" s="58" t="s">
        <v>237</v>
      </c>
      <c r="I52" s="61" t="s">
        <v>206</v>
      </c>
      <c r="J52" s="57" t="s">
        <v>233</v>
      </c>
      <c r="K52" s="61" t="s">
        <v>206</v>
      </c>
      <c r="L52" s="57" t="s">
        <v>237</v>
      </c>
      <c r="M52" s="61" t="s">
        <v>206</v>
      </c>
      <c r="N52" s="57" t="s">
        <v>237</v>
      </c>
      <c r="O52" s="61" t="s">
        <v>206</v>
      </c>
      <c r="P52" s="57"/>
      <c r="Q52" s="64"/>
    </row>
    <row r="53">
      <c r="A53" s="57"/>
      <c r="B53" s="58" t="s">
        <v>233</v>
      </c>
      <c r="C53" s="59" t="s">
        <v>206</v>
      </c>
      <c r="D53" s="69"/>
      <c r="E53" s="64"/>
      <c r="F53" s="58"/>
      <c r="G53" s="57"/>
      <c r="H53" s="58"/>
      <c r="I53" s="61"/>
      <c r="J53" s="57" t="s">
        <v>223</v>
      </c>
      <c r="K53" s="61" t="s">
        <v>206</v>
      </c>
      <c r="M53" s="64"/>
      <c r="N53" s="57"/>
      <c r="O53" s="61"/>
      <c r="P53" s="57"/>
      <c r="Q53" s="64"/>
    </row>
    <row r="54">
      <c r="A54" s="57"/>
      <c r="B54" s="58" t="s">
        <v>223</v>
      </c>
      <c r="C54" s="59" t="s">
        <v>206</v>
      </c>
      <c r="D54" s="69"/>
      <c r="E54" s="64"/>
      <c r="F54" s="70"/>
      <c r="H54" s="70"/>
      <c r="I54" s="64"/>
      <c r="J54" s="57" t="s">
        <v>237</v>
      </c>
      <c r="K54" s="61" t="s">
        <v>206</v>
      </c>
      <c r="M54" s="64"/>
      <c r="O54" s="64"/>
      <c r="Q54" s="64"/>
    </row>
    <row r="55">
      <c r="A55" s="57"/>
      <c r="B55" s="71" t="s">
        <v>237</v>
      </c>
      <c r="C55" s="72" t="s">
        <v>206</v>
      </c>
      <c r="D55" s="73"/>
      <c r="E55" s="74"/>
      <c r="F55" s="75"/>
      <c r="G55" s="76"/>
      <c r="H55" s="75"/>
      <c r="I55" s="74"/>
      <c r="J55" s="76"/>
      <c r="K55" s="74"/>
      <c r="L55" s="76"/>
      <c r="M55" s="74"/>
      <c r="N55" s="76"/>
      <c r="O55" s="74"/>
      <c r="P55" s="76"/>
      <c r="Q55" s="74"/>
    </row>
    <row r="57">
      <c r="B57" s="7" t="s">
        <v>245</v>
      </c>
      <c r="C57" s="77" t="s">
        <v>206</v>
      </c>
    </row>
    <row r="59">
      <c r="B59" s="78" t="s">
        <v>247</v>
      </c>
      <c r="C59" s="79" t="s">
        <v>249</v>
      </c>
      <c r="D59" s="79" t="s">
        <v>250</v>
      </c>
      <c r="E59" s="81" t="s">
        <v>188</v>
      </c>
    </row>
    <row r="60">
      <c r="B60" s="63" t="s">
        <v>251</v>
      </c>
      <c r="C60" s="34">
        <v>46296.0</v>
      </c>
      <c r="D60" s="34">
        <v>46426.0</v>
      </c>
      <c r="E60" s="61" t="s">
        <v>206</v>
      </c>
    </row>
    <row r="61">
      <c r="B61" s="63" t="s">
        <v>253</v>
      </c>
      <c r="C61" s="34">
        <v>46296.0</v>
      </c>
      <c r="D61" s="34">
        <v>46462.0</v>
      </c>
      <c r="E61" s="61" t="s">
        <v>152</v>
      </c>
    </row>
    <row r="62">
      <c r="B62" s="63" t="s">
        <v>254</v>
      </c>
      <c r="C62" s="34">
        <v>46326.0</v>
      </c>
      <c r="D62" s="34">
        <v>46456.0</v>
      </c>
      <c r="E62" s="61" t="s">
        <v>152</v>
      </c>
    </row>
    <row r="63">
      <c r="B63" s="63" t="s">
        <v>256</v>
      </c>
      <c r="C63" s="34">
        <v>46296.0</v>
      </c>
      <c r="D63" s="34">
        <v>46524.0</v>
      </c>
      <c r="E63" s="61" t="s">
        <v>152</v>
      </c>
    </row>
    <row r="64">
      <c r="B64" s="82" t="s">
        <v>257</v>
      </c>
      <c r="C64" s="83">
        <v>46296.0</v>
      </c>
      <c r="D64" s="83">
        <v>46426.0</v>
      </c>
      <c r="E64" s="84" t="s">
        <v>152</v>
      </c>
    </row>
    <row r="74">
      <c r="C74" s="85"/>
    </row>
  </sheetData>
  <conditionalFormatting sqref="C28">
    <cfRule type="cellIs" dxfId="0" priority="1" operator="equal">
      <formula>"SHOLAT JUM'AT"</formula>
    </cfRule>
  </conditionalFormatting>
  <conditionalFormatting sqref="C28">
    <cfRule type="cellIs" dxfId="1" priority="2" operator="equal">
      <formula>"SHOLAT TARAWIH"</formula>
    </cfRule>
  </conditionalFormatting>
  <conditionalFormatting sqref="C28">
    <cfRule type="cellIs" dxfId="2" priority="3" operator="equal">
      <formula>"SHOLAT IDUL FITRI"</formula>
    </cfRule>
  </conditionalFormatting>
  <conditionalFormatting sqref="C28">
    <cfRule type="cellIs" dxfId="3" priority="4" operator="equal">
      <formula>"SHOLAT IDUL ADHA"</formula>
    </cfRule>
  </conditionalFormatting>
  <dataValidations>
    <dataValidation type="list" allowBlank="1" showErrorMessage="1" sqref="G20">
      <formula1>"ON,OFF,AUTO,STOP"</formula1>
    </dataValidation>
    <dataValidation type="list" allowBlank="1" showErrorMessage="1" sqref="C41">
      <formula1>"AUTO,OFF"</formula1>
    </dataValidation>
    <dataValidation type="list" allowBlank="1" showErrorMessage="1" sqref="C18">
      <formula1>"HIJAU,MERAH,KUNING"</formula1>
    </dataValidation>
    <dataValidation type="list" allowBlank="1" showErrorMessage="1" sqref="C26">
      <formula1>"KEUANGAN,QUR'BAN,PENGURUS"</formula1>
    </dataValidation>
    <dataValidation type="list" allowBlank="1" showErrorMessage="1" sqref="C5">
      <formula1>"Ambon,Balikpapan,Banda Aceh,Bandar Lampung,Bandung,Bangkalan,Banjar,Banjarbaru,Banjarmasin,Banjarnegara,Bantul,Banyumas,Banyuwangi,Batam,Batang,Batu,Bau-Bau,Bekasi,Bengkulu,Biak,Bima,Binjai,Bitung,Blitar,Blora,Bogor,Bojonegoro,Bondowoso,Bontang,Boyolali,B"&amp;"rebes,Bukittinggi,Ciamis,Cianjur,Cilacap,Cilegon,Cimahi,Cirebon,Deli Serdang,Demak,Denpasar,Depok,DKI Jakarta,Dumai,Ende,Fak-Fak,Garut,Gianyar,Gorontalo,Gresik,Grobogan,Gunungkidul,Indramayu,Jakarta Barat,Jakarta Pusat,Jakarta Selatan,Jakarta Timur,Jakart"&amp;"a Utara,Jambi,Jayapura,Jember,Jepara,Jombang,Kampar,Karanganyar,Karawang,Karimun,Kebumen,Kediri,Kendal,Kendari,Ketapang,Klaten,Klungkung,Kotamobagu,Kudus,Kulon Progo,Kuningan,Kupang,Labuan Bajo,Lamongan,Langsa,Lebak,Lhokseumawe,Limboto,Lubuklinggau,Lumaja"&amp;"ng,Luwuk,Madiun,Magelang,Magetan,Majalengka,Makassar,Malang,Manado,Manokwari,Martapura,Mataram,Maumere,Medan,Merauke,Metro,Mojokerto,Nabire,Nganjuk,Ngawi,Pacitan,Padang,Padangsidempuan,Pagar Alam,Palangka Raya,Palembang,Palopo,Palu,Pamekasan,Pandeglang,Pa"&amp;"ngandaran,Parepare,Pariaman,Pasuruan,Pati,Payakumbuh,Pekalongan,Pekanbaru,Pelalawan,Pemalang,Pematang Siantar,Pematangsiantar,Ponorogo,Pontianak,Poso,Prabumulih,Probolinggo,Purbalingga,Purwakarta,Purwokerto,Purworejo,Rembang,Sabang,Salatiga,Samarinda,Samp"&amp;"ang,Sampit,Semarang,Serang,Sidoarjo,Sigli,Singaraja,Singkawang,Situbondo,Sleman,Solok,Sorong,Sragen,Subang,Subulussalam,Sukabumi,Sukoharjo,Sumbawa Besar,Sumedang,Sumenep,Sungai Penuh,Surabaya,Surakarta (Solo),Tabanan,Tangerang,Tangerang Selatan,Tanjung Pa"&amp;"ndan (Belitung),Tanjung Pinang,Tanjungpinang,Tarakan,Tasikmalaya,Tebing Tinggi,Tegal,Temanggung,Tidore,Timika,Tomohon,Trenggalek,Tual,Tuban,Tulungagung,Wamena,Watampone (Bone),Wonogiri,Wonosobo,Yogyakarta"</formula1>
    </dataValidation>
    <dataValidation type="list" allowBlank="1" showErrorMessage="1" sqref="C22">
      <formula1>"AUTO,OFF,SLEEP"</formula1>
    </dataValidation>
    <dataValidation type="list" allowBlank="1" showErrorMessage="1" sqref="C28">
      <formula1>"SHOLAT JUM'AT,SHOLAT TARAWIH,SHOLAT IDUL FITRI,SHOLAT IDUL ADHA"</formula1>
    </dataValidation>
    <dataValidation type="list" allowBlank="1" showErrorMessage="1" sqref="G24 Q46:Q47 E46:E52 G46:G52 I46:I52 M46:M52 O46:O52 K46:K54 C46:C55 C57 E60:E64">
      <formula1>"ON,OFF"</formula1>
    </dataValidation>
  </dataValidations>
  <hyperlinks>
    <hyperlink r:id="rId1" ref="C20"/>
    <hyperlink r:id="rId2" ref="N20"/>
    <hyperlink r:id="rId3" ref="N22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9.63"/>
    <col customWidth="1" min="2" max="2" width="16.63"/>
    <col customWidth="1" min="3" max="3" width="11.38"/>
    <col customWidth="1" min="5" max="5" width="36.38"/>
  </cols>
  <sheetData>
    <row r="1">
      <c r="A1" s="2" t="s">
        <v>3</v>
      </c>
      <c r="B1" s="5"/>
      <c r="D1" s="7"/>
      <c r="F1" s="5"/>
    </row>
    <row r="2">
      <c r="A2" s="8">
        <v>46304.0</v>
      </c>
      <c r="B2" s="5"/>
      <c r="D2" s="7"/>
      <c r="F2" s="5"/>
    </row>
    <row r="3">
      <c r="A3" s="9"/>
      <c r="B3" s="5"/>
      <c r="D3" s="7"/>
      <c r="F3" s="5"/>
    </row>
    <row r="4">
      <c r="A4" s="9" t="s">
        <v>20</v>
      </c>
      <c r="B4" s="5" t="s">
        <v>21</v>
      </c>
      <c r="F4" s="10"/>
    </row>
    <row r="5">
      <c r="A5" s="11" t="s">
        <v>25</v>
      </c>
      <c r="B5" s="12">
        <v>2350000.0</v>
      </c>
      <c r="F5" s="12"/>
    </row>
    <row r="6">
      <c r="A6" s="11" t="s">
        <v>32</v>
      </c>
      <c r="B6" s="12">
        <v>1000000.0</v>
      </c>
      <c r="F6" s="12"/>
    </row>
    <row r="7">
      <c r="A7" s="13" t="s">
        <v>36</v>
      </c>
      <c r="B7" s="12">
        <v>825000.0</v>
      </c>
      <c r="F7" s="12"/>
    </row>
    <row r="8">
      <c r="A8" s="13" t="s">
        <v>40</v>
      </c>
      <c r="B8" s="12">
        <v>500000.0</v>
      </c>
      <c r="F8" s="12"/>
    </row>
    <row r="9">
      <c r="A9" s="13" t="s">
        <v>42</v>
      </c>
      <c r="B9" s="12">
        <v>350000.0</v>
      </c>
      <c r="F9" s="12"/>
    </row>
    <row r="10">
      <c r="A10" s="14" t="s">
        <v>45</v>
      </c>
      <c r="B10" s="15">
        <f>SUM(B5:B9)</f>
        <v>5025000</v>
      </c>
      <c r="F10" s="15"/>
    </row>
    <row r="11">
      <c r="A11" s="16"/>
      <c r="B11" s="16"/>
      <c r="F11" s="16"/>
    </row>
    <row r="12">
      <c r="A12" s="17" t="s">
        <v>81</v>
      </c>
      <c r="B12" s="5" t="s">
        <v>21</v>
      </c>
      <c r="F12" s="5"/>
    </row>
    <row r="13">
      <c r="A13" s="13" t="s">
        <v>89</v>
      </c>
      <c r="B13" s="12">
        <v>300000.0</v>
      </c>
      <c r="F13" s="12"/>
    </row>
    <row r="14">
      <c r="A14" s="13" t="s">
        <v>93</v>
      </c>
      <c r="B14" s="12">
        <v>150000.0</v>
      </c>
      <c r="F14" s="12"/>
    </row>
    <row r="15">
      <c r="A15" s="22" t="s">
        <v>96</v>
      </c>
      <c r="B15" s="23">
        <v>200000.0</v>
      </c>
      <c r="F15" s="23"/>
    </row>
    <row r="16">
      <c r="A16" s="13" t="s">
        <v>112</v>
      </c>
      <c r="B16" s="12">
        <v>300000.0</v>
      </c>
      <c r="F16" s="12"/>
    </row>
    <row r="17">
      <c r="A17" s="13" t="s">
        <v>114</v>
      </c>
      <c r="B17" s="12">
        <v>150000.0</v>
      </c>
      <c r="F17" s="12"/>
    </row>
    <row r="18">
      <c r="A18" s="22" t="s">
        <v>115</v>
      </c>
      <c r="B18" s="23">
        <v>200000.0</v>
      </c>
      <c r="F18" s="23"/>
    </row>
    <row r="19">
      <c r="A19" s="13" t="s">
        <v>118</v>
      </c>
      <c r="B19" s="12">
        <v>300000.0</v>
      </c>
      <c r="F19" s="12"/>
    </row>
    <row r="20">
      <c r="A20" s="13" t="s">
        <v>124</v>
      </c>
      <c r="B20" s="12">
        <v>150000.0</v>
      </c>
      <c r="F20" s="12"/>
    </row>
    <row r="21">
      <c r="A21" s="22" t="s">
        <v>127</v>
      </c>
      <c r="B21" s="23">
        <v>200000.0</v>
      </c>
      <c r="E21" s="22"/>
      <c r="F21" s="23"/>
    </row>
    <row r="22">
      <c r="A22" s="22" t="s">
        <v>128</v>
      </c>
      <c r="B22" s="23">
        <v>200000.0</v>
      </c>
      <c r="E22" s="22"/>
      <c r="F22" s="23"/>
    </row>
    <row r="23">
      <c r="A23" s="13" t="s">
        <v>132</v>
      </c>
      <c r="B23" s="12">
        <v>200000.0</v>
      </c>
      <c r="E23" s="13"/>
      <c r="F23" s="12"/>
    </row>
    <row r="24">
      <c r="A24" s="13" t="s">
        <v>134</v>
      </c>
      <c r="B24" s="12">
        <v>175000.0</v>
      </c>
      <c r="E24" s="13"/>
      <c r="F24" s="12"/>
    </row>
    <row r="25">
      <c r="A25" s="13" t="s">
        <v>136</v>
      </c>
      <c r="B25" s="12">
        <v>125000.0</v>
      </c>
      <c r="E25" s="13"/>
      <c r="F25" s="12"/>
    </row>
    <row r="26">
      <c r="A26" s="14" t="s">
        <v>140</v>
      </c>
      <c r="B26" s="15">
        <f>SUM(B13:B25)</f>
        <v>2650000</v>
      </c>
      <c r="E26" s="14"/>
      <c r="F26" s="15"/>
    </row>
    <row r="27">
      <c r="A27" s="16"/>
      <c r="B27" s="16"/>
      <c r="E27" s="16"/>
      <c r="F27" s="16"/>
    </row>
    <row r="28">
      <c r="A28" s="17" t="s">
        <v>147</v>
      </c>
      <c r="B28" s="16"/>
      <c r="E28" s="17"/>
      <c r="F28" s="16"/>
    </row>
    <row r="29">
      <c r="A29" s="14" t="s">
        <v>148</v>
      </c>
      <c r="B29" s="28">
        <v>1500000.0</v>
      </c>
      <c r="E29" s="14"/>
      <c r="F29" s="28"/>
    </row>
    <row r="30">
      <c r="A30" s="14" t="s">
        <v>45</v>
      </c>
      <c r="B30" s="15">
        <f>B10</f>
        <v>5025000</v>
      </c>
      <c r="E30" s="14"/>
      <c r="F30" s="15"/>
    </row>
    <row r="31">
      <c r="A31" s="14" t="s">
        <v>140</v>
      </c>
      <c r="B31" s="15">
        <f>B26</f>
        <v>2650000</v>
      </c>
      <c r="E31" s="14"/>
      <c r="F31" s="15"/>
    </row>
    <row r="32">
      <c r="A32" s="16"/>
      <c r="B32" s="16"/>
      <c r="E32" s="16"/>
      <c r="F32" s="16"/>
    </row>
    <row r="33">
      <c r="A33" s="14" t="s">
        <v>151</v>
      </c>
      <c r="B33" s="15">
        <f>(B29+B30)-B31</f>
        <v>3875000</v>
      </c>
      <c r="E33" s="14"/>
      <c r="F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</cols>
  <sheetData>
    <row r="1">
      <c r="A1" s="2" t="s">
        <v>2</v>
      </c>
    </row>
    <row r="2">
      <c r="A2" s="2" t="str">
        <f>panels!C12</f>
        <v>AL-MUBAROQAH</v>
      </c>
    </row>
    <row r="3">
      <c r="A3" s="8">
        <v>46304.0</v>
      </c>
    </row>
    <row r="4">
      <c r="A4" s="9"/>
    </row>
    <row r="5">
      <c r="A5" s="9" t="s">
        <v>43</v>
      </c>
    </row>
    <row r="6">
      <c r="A6" s="11" t="s">
        <v>46</v>
      </c>
    </row>
    <row r="7">
      <c r="A7" s="11" t="s">
        <v>48</v>
      </c>
    </row>
    <row r="8">
      <c r="A8" s="11" t="s">
        <v>50</v>
      </c>
    </row>
    <row r="9">
      <c r="A9" s="11" t="s">
        <v>52</v>
      </c>
    </row>
    <row r="10">
      <c r="A10" s="11" t="s">
        <v>54</v>
      </c>
    </row>
    <row r="11">
      <c r="A11" s="11" t="s">
        <v>56</v>
      </c>
    </row>
    <row r="12">
      <c r="A12" s="11" t="s">
        <v>58</v>
      </c>
    </row>
    <row r="13">
      <c r="A13" s="11"/>
    </row>
    <row r="14">
      <c r="A14" s="9" t="s">
        <v>60</v>
      </c>
    </row>
    <row r="15">
      <c r="A15" s="11" t="s">
        <v>63</v>
      </c>
    </row>
    <row r="16">
      <c r="A16" s="11" t="s">
        <v>65</v>
      </c>
    </row>
    <row r="17">
      <c r="A17" s="11" t="s">
        <v>67</v>
      </c>
    </row>
    <row r="18">
      <c r="A18" s="11" t="s">
        <v>69</v>
      </c>
    </row>
    <row r="19">
      <c r="A19" s="11" t="s">
        <v>71</v>
      </c>
    </row>
    <row r="20">
      <c r="A20" s="11" t="s">
        <v>73</v>
      </c>
    </row>
    <row r="21">
      <c r="A21" s="11" t="s">
        <v>74</v>
      </c>
    </row>
    <row r="23">
      <c r="A23" s="9" t="s">
        <v>77</v>
      </c>
    </row>
    <row r="24">
      <c r="A24" s="11" t="s">
        <v>79</v>
      </c>
    </row>
    <row r="25">
      <c r="A25" s="11" t="s">
        <v>80</v>
      </c>
    </row>
    <row r="26">
      <c r="A26" s="11" t="s">
        <v>83</v>
      </c>
    </row>
    <row r="27">
      <c r="A27" s="11" t="s">
        <v>84</v>
      </c>
    </row>
    <row r="28">
      <c r="A28" s="11" t="s">
        <v>85</v>
      </c>
    </row>
    <row r="29">
      <c r="A29" s="11" t="s">
        <v>87</v>
      </c>
    </row>
    <row r="31">
      <c r="A31" s="9" t="s">
        <v>88</v>
      </c>
    </row>
    <row r="32">
      <c r="A32" s="11" t="s">
        <v>92</v>
      </c>
    </row>
    <row r="33">
      <c r="A33" s="11" t="s">
        <v>94</v>
      </c>
    </row>
    <row r="34">
      <c r="A34" s="11" t="s">
        <v>95</v>
      </c>
    </row>
    <row r="35">
      <c r="A35" s="11" t="s">
        <v>98</v>
      </c>
    </row>
    <row r="36">
      <c r="A36" s="11" t="s">
        <v>99</v>
      </c>
    </row>
    <row r="37">
      <c r="A37" s="11" t="s">
        <v>100</v>
      </c>
    </row>
    <row r="38">
      <c r="A38" s="11" t="s">
        <v>102</v>
      </c>
    </row>
    <row r="40">
      <c r="A40" s="9" t="s">
        <v>104</v>
      </c>
    </row>
    <row r="41">
      <c r="A41" s="11" t="s">
        <v>107</v>
      </c>
    </row>
    <row r="42">
      <c r="A42" s="11" t="s">
        <v>108</v>
      </c>
    </row>
    <row r="43">
      <c r="A43" s="11" t="s">
        <v>111</v>
      </c>
    </row>
    <row r="44">
      <c r="A44" s="11" t="s">
        <v>116</v>
      </c>
    </row>
    <row r="45">
      <c r="A45" s="11" t="s">
        <v>119</v>
      </c>
    </row>
    <row r="46">
      <c r="A46" s="11" t="s">
        <v>120</v>
      </c>
    </row>
    <row r="47">
      <c r="A47" s="11" t="s">
        <v>121</v>
      </c>
    </row>
    <row r="49">
      <c r="A49" s="9" t="s">
        <v>122</v>
      </c>
    </row>
    <row r="50">
      <c r="A50" s="11" t="s">
        <v>84</v>
      </c>
    </row>
    <row r="51">
      <c r="A51" s="11" t="s">
        <v>56</v>
      </c>
    </row>
    <row r="53">
      <c r="A53" s="9" t="s">
        <v>125</v>
      </c>
    </row>
    <row r="54">
      <c r="A54" s="11" t="s">
        <v>58</v>
      </c>
    </row>
    <row r="55">
      <c r="A55" s="11"/>
    </row>
    <row r="56">
      <c r="A56" s="9" t="s">
        <v>130</v>
      </c>
    </row>
    <row r="57">
      <c r="A57" s="11" t="s">
        <v>80</v>
      </c>
    </row>
    <row r="59">
      <c r="A59" s="9" t="s">
        <v>133</v>
      </c>
    </row>
    <row r="60">
      <c r="A60" s="11" t="s">
        <v>95</v>
      </c>
    </row>
    <row r="62">
      <c r="A62" s="9" t="s">
        <v>137</v>
      </c>
    </row>
    <row r="63">
      <c r="A63" s="11" t="s">
        <v>56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2.5"/>
  </cols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5">
      <c r="A5" s="4" t="s">
        <v>6</v>
      </c>
    </row>
    <row r="6">
      <c r="A6" s="6" t="s">
        <v>7</v>
      </c>
    </row>
    <row r="7">
      <c r="A7" s="4" t="s">
        <v>8</v>
      </c>
    </row>
    <row r="8">
      <c r="A8" s="6" t="s">
        <v>9</v>
      </c>
    </row>
    <row r="9">
      <c r="A9" s="6" t="s">
        <v>10</v>
      </c>
    </row>
    <row r="10">
      <c r="A10" s="6" t="s">
        <v>11</v>
      </c>
    </row>
    <row r="11">
      <c r="A11" s="6" t="s">
        <v>12</v>
      </c>
    </row>
    <row r="12">
      <c r="A12" s="4"/>
    </row>
    <row r="13">
      <c r="A13" s="4" t="s">
        <v>13</v>
      </c>
    </row>
    <row r="14">
      <c r="A14" s="6" t="s">
        <v>14</v>
      </c>
    </row>
    <row r="15">
      <c r="A15" s="6" t="s">
        <v>15</v>
      </c>
    </row>
    <row r="16">
      <c r="A16" s="6" t="s">
        <v>16</v>
      </c>
    </row>
    <row r="17">
      <c r="A17" s="6" t="s">
        <v>17</v>
      </c>
    </row>
    <row r="18">
      <c r="A18" s="4"/>
    </row>
    <row r="19">
      <c r="A19" s="4" t="s">
        <v>18</v>
      </c>
    </row>
    <row r="20">
      <c r="A20" s="4" t="s">
        <v>19</v>
      </c>
    </row>
    <row r="21">
      <c r="A21" s="6" t="s">
        <v>22</v>
      </c>
    </row>
    <row r="22">
      <c r="A22" s="6" t="s">
        <v>23</v>
      </c>
    </row>
    <row r="23">
      <c r="A23" s="4" t="s">
        <v>24</v>
      </c>
    </row>
    <row r="24">
      <c r="A24" s="6" t="s">
        <v>26</v>
      </c>
    </row>
    <row r="25">
      <c r="A25" s="6" t="s">
        <v>27</v>
      </c>
    </row>
    <row r="26">
      <c r="A26" s="4" t="s">
        <v>28</v>
      </c>
    </row>
    <row r="27">
      <c r="A27" s="6" t="s">
        <v>29</v>
      </c>
    </row>
    <row r="28">
      <c r="A28" s="6" t="s">
        <v>30</v>
      </c>
    </row>
    <row r="29">
      <c r="A29" s="4" t="s">
        <v>24</v>
      </c>
    </row>
    <row r="30">
      <c r="A30" s="6" t="s">
        <v>31</v>
      </c>
    </row>
    <row r="31">
      <c r="A31" s="6" t="s">
        <v>33</v>
      </c>
    </row>
    <row r="32">
      <c r="A32" s="4" t="s">
        <v>34</v>
      </c>
    </row>
    <row r="33">
      <c r="A33" s="6" t="s">
        <v>35</v>
      </c>
    </row>
    <row r="34">
      <c r="A34" s="6" t="s">
        <v>37</v>
      </c>
    </row>
    <row r="35">
      <c r="A35" s="4" t="s">
        <v>24</v>
      </c>
    </row>
    <row r="36">
      <c r="A36" s="6" t="s">
        <v>38</v>
      </c>
    </row>
    <row r="37">
      <c r="A37" s="6" t="s">
        <v>39</v>
      </c>
    </row>
    <row r="38">
      <c r="A38" s="4" t="s">
        <v>41</v>
      </c>
    </row>
    <row r="39">
      <c r="A39" s="6" t="s">
        <v>44</v>
      </c>
    </row>
    <row r="40">
      <c r="A40" s="6" t="s">
        <v>47</v>
      </c>
    </row>
    <row r="41">
      <c r="A41" s="4" t="s">
        <v>24</v>
      </c>
    </row>
    <row r="42">
      <c r="A42" s="6" t="s">
        <v>49</v>
      </c>
    </row>
    <row r="43">
      <c r="A43" s="6" t="s">
        <v>51</v>
      </c>
    </row>
    <row r="44">
      <c r="A44" s="4" t="s">
        <v>53</v>
      </c>
    </row>
    <row r="45">
      <c r="A45" s="6" t="s">
        <v>55</v>
      </c>
    </row>
    <row r="46">
      <c r="A46" s="6" t="s">
        <v>57</v>
      </c>
    </row>
    <row r="47">
      <c r="A47" s="4" t="s">
        <v>24</v>
      </c>
    </row>
    <row r="48">
      <c r="A48" s="6" t="s">
        <v>59</v>
      </c>
    </row>
    <row r="49">
      <c r="A49" s="6" t="s">
        <v>61</v>
      </c>
    </row>
    <row r="50">
      <c r="A50" s="4" t="s">
        <v>62</v>
      </c>
    </row>
    <row r="51">
      <c r="A51" s="6" t="s">
        <v>64</v>
      </c>
    </row>
    <row r="52">
      <c r="A52" s="6" t="s">
        <v>66</v>
      </c>
    </row>
    <row r="53">
      <c r="A53" s="6" t="s">
        <v>24</v>
      </c>
    </row>
    <row r="54">
      <c r="A54" s="6" t="s">
        <v>68</v>
      </c>
    </row>
    <row r="55">
      <c r="A55" s="6" t="s">
        <v>70</v>
      </c>
    </row>
    <row r="56">
      <c r="A56" s="4" t="s">
        <v>72</v>
      </c>
    </row>
    <row r="57">
      <c r="A57" s="6" t="s">
        <v>75</v>
      </c>
    </row>
    <row r="58">
      <c r="A58" s="6" t="s">
        <v>78</v>
      </c>
    </row>
    <row r="59">
      <c r="A59" s="6" t="s">
        <v>24</v>
      </c>
    </row>
    <row r="60">
      <c r="A60" s="6" t="s">
        <v>82</v>
      </c>
    </row>
    <row r="61">
      <c r="A61" s="6" t="s">
        <v>70</v>
      </c>
    </row>
    <row r="62">
      <c r="A62" s="4"/>
    </row>
    <row r="63">
      <c r="A63" s="4" t="s">
        <v>86</v>
      </c>
    </row>
    <row r="64">
      <c r="A64" s="6" t="s">
        <v>90</v>
      </c>
    </row>
    <row r="65">
      <c r="A65" s="20"/>
    </row>
    <row r="66">
      <c r="A66" s="20"/>
    </row>
    <row r="67">
      <c r="A67" s="20"/>
    </row>
    <row r="68">
      <c r="A68" s="20"/>
    </row>
    <row r="69">
      <c r="A69" s="20"/>
    </row>
    <row r="70">
      <c r="A70" s="20"/>
    </row>
    <row r="71">
      <c r="A71" s="20"/>
    </row>
    <row r="72">
      <c r="A72" s="20"/>
    </row>
    <row r="73">
      <c r="A73" s="20"/>
    </row>
    <row r="74">
      <c r="A74" s="20"/>
    </row>
    <row r="75">
      <c r="A75" s="20"/>
    </row>
    <row r="76">
      <c r="A76" s="20"/>
    </row>
    <row r="77">
      <c r="A77" s="20"/>
    </row>
    <row r="78">
      <c r="A78" s="20"/>
    </row>
    <row r="79">
      <c r="A79" s="20"/>
    </row>
    <row r="80">
      <c r="A80" s="20"/>
    </row>
    <row r="81">
      <c r="A81" s="20"/>
    </row>
    <row r="82">
      <c r="A82" s="20"/>
    </row>
    <row r="83">
      <c r="A83" s="20"/>
    </row>
    <row r="84">
      <c r="A84" s="20"/>
    </row>
    <row r="85">
      <c r="A85" s="20"/>
    </row>
    <row r="86">
      <c r="A86" s="20"/>
    </row>
    <row r="87">
      <c r="A87" s="20"/>
    </row>
    <row r="88">
      <c r="A88" s="20"/>
    </row>
    <row r="89">
      <c r="A89" s="20"/>
    </row>
    <row r="90">
      <c r="A90" s="20"/>
    </row>
    <row r="91">
      <c r="A91" s="20"/>
    </row>
    <row r="92">
      <c r="A92" s="20"/>
    </row>
    <row r="93">
      <c r="A93" s="20"/>
    </row>
    <row r="94">
      <c r="A94" s="20"/>
    </row>
    <row r="95">
      <c r="A95" s="20"/>
    </row>
    <row r="96">
      <c r="A96" s="20"/>
    </row>
    <row r="97">
      <c r="A97" s="20"/>
    </row>
    <row r="98">
      <c r="A98" s="20"/>
    </row>
    <row r="99">
      <c r="A99" s="20"/>
    </row>
    <row r="100">
      <c r="A100" s="20"/>
    </row>
    <row r="101">
      <c r="A101" s="20"/>
    </row>
    <row r="102">
      <c r="A102" s="20"/>
    </row>
    <row r="103">
      <c r="A103" s="20"/>
    </row>
    <row r="104">
      <c r="A104" s="20"/>
    </row>
    <row r="105">
      <c r="A105" s="20"/>
    </row>
    <row r="106">
      <c r="A106" s="20"/>
    </row>
    <row r="107">
      <c r="A107" s="20"/>
    </row>
    <row r="108">
      <c r="A108" s="20"/>
    </row>
    <row r="109">
      <c r="A109" s="20"/>
    </row>
    <row r="110">
      <c r="A110" s="20"/>
    </row>
    <row r="111">
      <c r="A111" s="20"/>
    </row>
    <row r="112">
      <c r="A112" s="20"/>
    </row>
    <row r="113">
      <c r="A113" s="20"/>
    </row>
    <row r="114">
      <c r="A114" s="20"/>
    </row>
    <row r="115">
      <c r="A115" s="20"/>
    </row>
    <row r="116">
      <c r="A116" s="20"/>
    </row>
    <row r="117">
      <c r="A117" s="20"/>
    </row>
    <row r="118">
      <c r="A118" s="20"/>
    </row>
    <row r="119">
      <c r="A119" s="20"/>
    </row>
    <row r="120">
      <c r="A120" s="20"/>
    </row>
    <row r="121">
      <c r="A121" s="20"/>
    </row>
    <row r="122">
      <c r="A122" s="20"/>
    </row>
    <row r="123">
      <c r="A123" s="20"/>
    </row>
    <row r="124">
      <c r="A124" s="20"/>
    </row>
    <row r="125">
      <c r="A125" s="20"/>
    </row>
    <row r="126">
      <c r="A126" s="20"/>
    </row>
    <row r="127">
      <c r="A127" s="20"/>
    </row>
    <row r="128">
      <c r="A128" s="20"/>
    </row>
    <row r="129">
      <c r="A129" s="20"/>
    </row>
    <row r="130">
      <c r="A130" s="20"/>
    </row>
    <row r="131">
      <c r="A131" s="20"/>
    </row>
    <row r="132">
      <c r="A132" s="20"/>
    </row>
    <row r="133">
      <c r="A133" s="20"/>
    </row>
    <row r="134">
      <c r="A134" s="20"/>
    </row>
    <row r="135">
      <c r="A135" s="20"/>
    </row>
    <row r="136">
      <c r="A136" s="20"/>
    </row>
    <row r="137">
      <c r="A137" s="20"/>
    </row>
    <row r="138">
      <c r="A138" s="20"/>
    </row>
    <row r="139">
      <c r="A139" s="20"/>
    </row>
    <row r="140">
      <c r="A140" s="20"/>
    </row>
    <row r="141">
      <c r="A141" s="20"/>
    </row>
    <row r="142">
      <c r="A142" s="20"/>
    </row>
    <row r="143">
      <c r="A143" s="20"/>
    </row>
    <row r="144">
      <c r="A144" s="20"/>
    </row>
    <row r="145">
      <c r="A145" s="20"/>
    </row>
    <row r="146">
      <c r="A146" s="20"/>
    </row>
    <row r="147">
      <c r="A147" s="20"/>
    </row>
    <row r="148">
      <c r="A148" s="20"/>
    </row>
    <row r="149">
      <c r="A149" s="20"/>
    </row>
    <row r="150">
      <c r="A150" s="20"/>
    </row>
    <row r="151">
      <c r="A151" s="20"/>
    </row>
    <row r="152">
      <c r="A152" s="20"/>
    </row>
    <row r="153">
      <c r="A153" s="20"/>
    </row>
    <row r="154">
      <c r="A154" s="20"/>
    </row>
    <row r="155">
      <c r="A155" s="20"/>
    </row>
    <row r="156">
      <c r="A156" s="20"/>
    </row>
    <row r="157">
      <c r="A157" s="20"/>
    </row>
    <row r="158">
      <c r="A158" s="20"/>
    </row>
    <row r="159">
      <c r="A159" s="20"/>
    </row>
    <row r="160">
      <c r="A160" s="20"/>
    </row>
    <row r="161">
      <c r="A161" s="20"/>
    </row>
    <row r="162">
      <c r="A162" s="20"/>
    </row>
    <row r="163">
      <c r="A163" s="20"/>
    </row>
    <row r="164">
      <c r="A164" s="20"/>
    </row>
    <row r="165">
      <c r="A165" s="20"/>
    </row>
    <row r="166">
      <c r="A166" s="20"/>
    </row>
    <row r="167">
      <c r="A167" s="20"/>
    </row>
    <row r="168">
      <c r="A168" s="20"/>
    </row>
    <row r="169">
      <c r="A169" s="20"/>
    </row>
    <row r="170">
      <c r="A170" s="20"/>
    </row>
    <row r="171">
      <c r="A171" s="20"/>
    </row>
    <row r="172">
      <c r="A172" s="20"/>
    </row>
    <row r="173">
      <c r="A173" s="20"/>
    </row>
    <row r="174">
      <c r="A174" s="20"/>
    </row>
    <row r="175">
      <c r="A175" s="20"/>
    </row>
    <row r="176">
      <c r="A176" s="20"/>
    </row>
    <row r="177">
      <c r="A177" s="20"/>
    </row>
    <row r="178">
      <c r="A178" s="20"/>
    </row>
    <row r="179">
      <c r="A179" s="20"/>
    </row>
    <row r="180">
      <c r="A180" s="20"/>
    </row>
    <row r="181">
      <c r="A181" s="20"/>
    </row>
    <row r="182">
      <c r="A182" s="20"/>
    </row>
    <row r="183">
      <c r="A183" s="20"/>
    </row>
    <row r="184">
      <c r="A184" s="20"/>
    </row>
    <row r="185">
      <c r="A185" s="20"/>
    </row>
    <row r="186">
      <c r="A186" s="20"/>
    </row>
    <row r="187">
      <c r="A187" s="20"/>
    </row>
    <row r="188">
      <c r="A188" s="20"/>
    </row>
    <row r="189">
      <c r="A189" s="20"/>
    </row>
    <row r="190">
      <c r="A190" s="20"/>
    </row>
    <row r="191">
      <c r="A191" s="20"/>
    </row>
    <row r="192">
      <c r="A192" s="20"/>
    </row>
    <row r="193">
      <c r="A193" s="20"/>
    </row>
    <row r="194">
      <c r="A194" s="20"/>
    </row>
    <row r="195">
      <c r="A195" s="20"/>
    </row>
    <row r="196">
      <c r="A196" s="20"/>
    </row>
    <row r="197">
      <c r="A197" s="20"/>
    </row>
    <row r="198">
      <c r="A198" s="20"/>
    </row>
    <row r="199">
      <c r="A199" s="20"/>
    </row>
    <row r="200">
      <c r="A200" s="20"/>
    </row>
    <row r="201">
      <c r="A201" s="20"/>
    </row>
    <row r="202">
      <c r="A202" s="20"/>
    </row>
    <row r="203">
      <c r="A203" s="20"/>
    </row>
    <row r="204">
      <c r="A204" s="20"/>
    </row>
    <row r="205">
      <c r="A205" s="20"/>
    </row>
    <row r="206">
      <c r="A206" s="20"/>
    </row>
    <row r="207">
      <c r="A207" s="20"/>
    </row>
    <row r="208">
      <c r="A208" s="20"/>
    </row>
    <row r="209">
      <c r="A209" s="20"/>
    </row>
    <row r="210">
      <c r="A210" s="20"/>
    </row>
    <row r="211">
      <c r="A211" s="20"/>
    </row>
    <row r="212">
      <c r="A212" s="20"/>
    </row>
    <row r="213">
      <c r="A213" s="20"/>
    </row>
    <row r="214">
      <c r="A214" s="20"/>
    </row>
    <row r="215">
      <c r="A215" s="20"/>
    </row>
    <row r="216">
      <c r="A216" s="20"/>
    </row>
    <row r="217">
      <c r="A217" s="20"/>
    </row>
    <row r="218">
      <c r="A218" s="20"/>
    </row>
    <row r="219">
      <c r="A219" s="20"/>
    </row>
    <row r="220">
      <c r="A220" s="20"/>
    </row>
    <row r="221">
      <c r="A221" s="20"/>
    </row>
    <row r="222">
      <c r="A222" s="20"/>
    </row>
    <row r="223">
      <c r="A223" s="20"/>
    </row>
    <row r="224">
      <c r="A224" s="20"/>
    </row>
    <row r="225">
      <c r="A225" s="20"/>
    </row>
    <row r="226">
      <c r="A226" s="20"/>
    </row>
    <row r="227">
      <c r="A227" s="20"/>
    </row>
    <row r="228">
      <c r="A228" s="20"/>
    </row>
    <row r="229">
      <c r="A229" s="20"/>
    </row>
    <row r="230">
      <c r="A230" s="20"/>
    </row>
    <row r="231">
      <c r="A231" s="20"/>
    </row>
    <row r="232">
      <c r="A232" s="20"/>
    </row>
    <row r="233">
      <c r="A233" s="20"/>
    </row>
    <row r="234">
      <c r="A234" s="20"/>
    </row>
    <row r="235">
      <c r="A235" s="20"/>
    </row>
    <row r="236">
      <c r="A236" s="20"/>
    </row>
    <row r="237">
      <c r="A237" s="20"/>
    </row>
    <row r="238">
      <c r="A238" s="20"/>
    </row>
    <row r="239">
      <c r="A239" s="20"/>
    </row>
    <row r="240">
      <c r="A240" s="20"/>
    </row>
    <row r="241">
      <c r="A241" s="20"/>
    </row>
    <row r="242">
      <c r="A242" s="20"/>
    </row>
    <row r="243">
      <c r="A243" s="20"/>
    </row>
    <row r="244">
      <c r="A244" s="20"/>
    </row>
    <row r="245">
      <c r="A245" s="20"/>
    </row>
    <row r="246">
      <c r="A246" s="20"/>
    </row>
    <row r="247">
      <c r="A247" s="20"/>
    </row>
    <row r="248">
      <c r="A248" s="20"/>
    </row>
    <row r="249">
      <c r="A249" s="20"/>
    </row>
    <row r="250">
      <c r="A250" s="20"/>
    </row>
    <row r="251">
      <c r="A251" s="20"/>
    </row>
    <row r="252">
      <c r="A252" s="20"/>
    </row>
    <row r="253">
      <c r="A253" s="20"/>
    </row>
    <row r="254">
      <c r="A254" s="20"/>
    </row>
    <row r="255">
      <c r="A255" s="20"/>
    </row>
    <row r="256">
      <c r="A256" s="20"/>
    </row>
    <row r="257">
      <c r="A257" s="20"/>
    </row>
    <row r="258">
      <c r="A258" s="20"/>
    </row>
    <row r="259">
      <c r="A259" s="20"/>
    </row>
    <row r="260">
      <c r="A260" s="20"/>
    </row>
    <row r="261">
      <c r="A261" s="20"/>
    </row>
    <row r="262">
      <c r="A262" s="20"/>
    </row>
    <row r="263">
      <c r="A263" s="20"/>
    </row>
    <row r="264">
      <c r="A264" s="20"/>
    </row>
    <row r="265">
      <c r="A265" s="20"/>
    </row>
    <row r="266">
      <c r="A266" s="20"/>
    </row>
    <row r="267">
      <c r="A267" s="20"/>
    </row>
    <row r="268">
      <c r="A268" s="20"/>
    </row>
    <row r="269">
      <c r="A269" s="20"/>
    </row>
    <row r="270">
      <c r="A270" s="20"/>
    </row>
    <row r="271">
      <c r="A271" s="20"/>
    </row>
    <row r="272">
      <c r="A272" s="20"/>
    </row>
    <row r="273">
      <c r="A273" s="20"/>
    </row>
    <row r="274">
      <c r="A274" s="20"/>
    </row>
    <row r="275">
      <c r="A275" s="20"/>
    </row>
    <row r="276">
      <c r="A276" s="20"/>
    </row>
    <row r="277">
      <c r="A277" s="20"/>
    </row>
    <row r="278">
      <c r="A278" s="20"/>
    </row>
    <row r="279">
      <c r="A279" s="20"/>
    </row>
    <row r="280">
      <c r="A280" s="20"/>
    </row>
    <row r="281">
      <c r="A281" s="20"/>
    </row>
    <row r="282">
      <c r="A282" s="20"/>
    </row>
    <row r="283">
      <c r="A283" s="20"/>
    </row>
    <row r="284">
      <c r="A284" s="20"/>
    </row>
    <row r="285">
      <c r="A285" s="20"/>
    </row>
    <row r="286">
      <c r="A286" s="20"/>
    </row>
    <row r="287">
      <c r="A287" s="20"/>
    </row>
    <row r="288">
      <c r="A288" s="20"/>
    </row>
    <row r="289">
      <c r="A289" s="20"/>
    </row>
    <row r="290">
      <c r="A290" s="20"/>
    </row>
    <row r="291">
      <c r="A291" s="20"/>
    </row>
    <row r="292">
      <c r="A292" s="20"/>
    </row>
    <row r="293">
      <c r="A293" s="20"/>
    </row>
    <row r="294">
      <c r="A294" s="20"/>
    </row>
    <row r="295">
      <c r="A295" s="20"/>
    </row>
    <row r="296">
      <c r="A296" s="20"/>
    </row>
    <row r="297">
      <c r="A297" s="20"/>
    </row>
    <row r="298">
      <c r="A298" s="20"/>
    </row>
    <row r="299">
      <c r="A299" s="20"/>
    </row>
    <row r="300">
      <c r="A300" s="20"/>
    </row>
    <row r="301">
      <c r="A301" s="20"/>
    </row>
    <row r="302">
      <c r="A302" s="20"/>
    </row>
    <row r="303">
      <c r="A303" s="20"/>
    </row>
    <row r="304">
      <c r="A304" s="20"/>
    </row>
    <row r="305">
      <c r="A305" s="20"/>
    </row>
    <row r="306">
      <c r="A306" s="20"/>
    </row>
    <row r="307">
      <c r="A307" s="20"/>
    </row>
    <row r="308">
      <c r="A308" s="20"/>
    </row>
    <row r="309">
      <c r="A309" s="20"/>
    </row>
    <row r="310">
      <c r="A310" s="20"/>
    </row>
    <row r="311">
      <c r="A311" s="20"/>
    </row>
    <row r="312">
      <c r="A312" s="20"/>
    </row>
    <row r="313">
      <c r="A313" s="20"/>
    </row>
    <row r="314">
      <c r="A314" s="20"/>
    </row>
    <row r="315">
      <c r="A315" s="20"/>
    </row>
    <row r="316">
      <c r="A316" s="20"/>
    </row>
    <row r="317">
      <c r="A317" s="20"/>
    </row>
    <row r="318">
      <c r="A318" s="20"/>
    </row>
    <row r="319">
      <c r="A319" s="20"/>
    </row>
    <row r="320">
      <c r="A320" s="20"/>
    </row>
    <row r="321">
      <c r="A321" s="20"/>
    </row>
    <row r="322">
      <c r="A322" s="20"/>
    </row>
    <row r="323">
      <c r="A323" s="20"/>
    </row>
    <row r="324">
      <c r="A324" s="20"/>
    </row>
    <row r="325">
      <c r="A325" s="20"/>
    </row>
    <row r="326">
      <c r="A326" s="20"/>
    </row>
    <row r="327">
      <c r="A327" s="20"/>
    </row>
    <row r="328">
      <c r="A328" s="20"/>
    </row>
    <row r="329">
      <c r="A329" s="20"/>
    </row>
    <row r="330">
      <c r="A330" s="20"/>
    </row>
    <row r="331">
      <c r="A331" s="20"/>
    </row>
    <row r="332">
      <c r="A332" s="20"/>
    </row>
    <row r="333">
      <c r="A333" s="20"/>
    </row>
    <row r="334">
      <c r="A334" s="20"/>
    </row>
    <row r="335">
      <c r="A335" s="20"/>
    </row>
    <row r="336">
      <c r="A336" s="20"/>
    </row>
    <row r="337">
      <c r="A337" s="20"/>
    </row>
    <row r="338">
      <c r="A338" s="20"/>
    </row>
    <row r="339">
      <c r="A339" s="20"/>
    </row>
    <row r="340">
      <c r="A340" s="20"/>
    </row>
    <row r="341">
      <c r="A341" s="20"/>
    </row>
    <row r="342">
      <c r="A342" s="20"/>
    </row>
    <row r="343">
      <c r="A343" s="20"/>
    </row>
    <row r="344">
      <c r="A344" s="20"/>
    </row>
    <row r="345">
      <c r="A345" s="20"/>
    </row>
    <row r="346">
      <c r="A346" s="20"/>
    </row>
    <row r="347">
      <c r="A347" s="20"/>
    </row>
    <row r="348">
      <c r="A348" s="20"/>
    </row>
    <row r="349">
      <c r="A349" s="20"/>
    </row>
    <row r="350">
      <c r="A350" s="20"/>
    </row>
    <row r="351">
      <c r="A351" s="20"/>
    </row>
    <row r="352">
      <c r="A352" s="20"/>
    </row>
    <row r="353">
      <c r="A353" s="20"/>
    </row>
    <row r="354">
      <c r="A354" s="20"/>
    </row>
    <row r="355">
      <c r="A355" s="20"/>
    </row>
    <row r="356">
      <c r="A356" s="20"/>
    </row>
    <row r="357">
      <c r="A357" s="20"/>
    </row>
    <row r="358">
      <c r="A358" s="20"/>
    </row>
    <row r="359">
      <c r="A359" s="20"/>
    </row>
    <row r="360">
      <c r="A360" s="20"/>
    </row>
    <row r="361">
      <c r="A361" s="20"/>
    </row>
    <row r="362">
      <c r="A362" s="20"/>
    </row>
    <row r="363">
      <c r="A363" s="20"/>
    </row>
    <row r="364">
      <c r="A364" s="20"/>
    </row>
    <row r="365">
      <c r="A365" s="20"/>
    </row>
    <row r="366">
      <c r="A366" s="20"/>
    </row>
    <row r="367">
      <c r="A367" s="20"/>
    </row>
    <row r="368">
      <c r="A368" s="20"/>
    </row>
    <row r="369">
      <c r="A369" s="20"/>
    </row>
    <row r="370">
      <c r="A370" s="20"/>
    </row>
    <row r="371">
      <c r="A371" s="20"/>
    </row>
    <row r="372">
      <c r="A372" s="20"/>
    </row>
    <row r="373">
      <c r="A373" s="20"/>
    </row>
    <row r="374">
      <c r="A374" s="20"/>
    </row>
    <row r="375">
      <c r="A375" s="20"/>
    </row>
    <row r="376">
      <c r="A376" s="20"/>
    </row>
    <row r="377">
      <c r="A377" s="20"/>
    </row>
    <row r="378">
      <c r="A378" s="20"/>
    </row>
    <row r="379">
      <c r="A379" s="20"/>
    </row>
    <row r="380">
      <c r="A380" s="20"/>
    </row>
    <row r="381">
      <c r="A381" s="20"/>
    </row>
    <row r="382">
      <c r="A382" s="20"/>
    </row>
    <row r="383">
      <c r="A383" s="20"/>
    </row>
    <row r="384">
      <c r="A384" s="20"/>
    </row>
    <row r="385">
      <c r="A385" s="20"/>
    </row>
    <row r="386">
      <c r="A386" s="20"/>
    </row>
    <row r="387">
      <c r="A387" s="20"/>
    </row>
    <row r="388">
      <c r="A388" s="20"/>
    </row>
    <row r="389">
      <c r="A389" s="20"/>
    </row>
    <row r="390">
      <c r="A390" s="20"/>
    </row>
    <row r="391">
      <c r="A391" s="20"/>
    </row>
    <row r="392">
      <c r="A392" s="20"/>
    </row>
    <row r="393">
      <c r="A393" s="20"/>
    </row>
    <row r="394">
      <c r="A394" s="20"/>
    </row>
    <row r="395">
      <c r="A395" s="20"/>
    </row>
    <row r="396">
      <c r="A396" s="20"/>
    </row>
    <row r="397">
      <c r="A397" s="20"/>
    </row>
    <row r="398">
      <c r="A398" s="20"/>
    </row>
    <row r="399">
      <c r="A399" s="20"/>
    </row>
    <row r="400">
      <c r="A400" s="20"/>
    </row>
    <row r="401">
      <c r="A401" s="20"/>
    </row>
    <row r="402">
      <c r="A402" s="20"/>
    </row>
    <row r="403">
      <c r="A403" s="20"/>
    </row>
    <row r="404">
      <c r="A404" s="20"/>
    </row>
    <row r="405">
      <c r="A405" s="20"/>
    </row>
    <row r="406">
      <c r="A406" s="20"/>
    </row>
    <row r="407">
      <c r="A407" s="20"/>
    </row>
    <row r="408">
      <c r="A408" s="20"/>
    </row>
    <row r="409">
      <c r="A409" s="20"/>
    </row>
    <row r="410">
      <c r="A410" s="20"/>
    </row>
    <row r="411">
      <c r="A411" s="20"/>
    </row>
    <row r="412">
      <c r="A412" s="20"/>
    </row>
    <row r="413">
      <c r="A413" s="20"/>
    </row>
    <row r="414">
      <c r="A414" s="20"/>
    </row>
    <row r="415">
      <c r="A415" s="20"/>
    </row>
    <row r="416">
      <c r="A416" s="20"/>
    </row>
    <row r="417">
      <c r="A417" s="20"/>
    </row>
    <row r="418">
      <c r="A418" s="20"/>
    </row>
    <row r="419">
      <c r="A419" s="20"/>
    </row>
    <row r="420">
      <c r="A420" s="20"/>
    </row>
    <row r="421">
      <c r="A421" s="20"/>
    </row>
    <row r="422">
      <c r="A422" s="20"/>
    </row>
    <row r="423">
      <c r="A423" s="20"/>
    </row>
    <row r="424">
      <c r="A424" s="20"/>
    </row>
    <row r="425">
      <c r="A425" s="20"/>
    </row>
    <row r="426">
      <c r="A426" s="20"/>
    </row>
    <row r="427">
      <c r="A427" s="20"/>
    </row>
    <row r="428">
      <c r="A428" s="20"/>
    </row>
    <row r="429">
      <c r="A429" s="20"/>
    </row>
    <row r="430">
      <c r="A430" s="20"/>
    </row>
    <row r="431">
      <c r="A431" s="20"/>
    </row>
    <row r="432">
      <c r="A432" s="20"/>
    </row>
    <row r="433">
      <c r="A433" s="20"/>
    </row>
    <row r="434">
      <c r="A434" s="20"/>
    </row>
    <row r="435">
      <c r="A435" s="20"/>
    </row>
    <row r="436">
      <c r="A436" s="20"/>
    </row>
    <row r="437">
      <c r="A437" s="20"/>
    </row>
    <row r="438">
      <c r="A438" s="20"/>
    </row>
    <row r="439">
      <c r="A439" s="20"/>
    </row>
    <row r="440">
      <c r="A440" s="20"/>
    </row>
    <row r="441">
      <c r="A441" s="20"/>
    </row>
    <row r="442">
      <c r="A442" s="20"/>
    </row>
    <row r="443">
      <c r="A443" s="20"/>
    </row>
    <row r="444">
      <c r="A444" s="20"/>
    </row>
    <row r="445">
      <c r="A445" s="20"/>
    </row>
    <row r="446">
      <c r="A446" s="20"/>
    </row>
    <row r="447">
      <c r="A447" s="20"/>
    </row>
    <row r="448">
      <c r="A448" s="20"/>
    </row>
    <row r="449">
      <c r="A449" s="20"/>
    </row>
    <row r="450">
      <c r="A450" s="20"/>
    </row>
    <row r="451">
      <c r="A451" s="20"/>
    </row>
    <row r="452">
      <c r="A452" s="20"/>
    </row>
    <row r="453">
      <c r="A453" s="20"/>
    </row>
    <row r="454">
      <c r="A454" s="20"/>
    </row>
    <row r="455">
      <c r="A455" s="20"/>
    </row>
    <row r="456">
      <c r="A456" s="20"/>
    </row>
    <row r="457">
      <c r="A457" s="20"/>
    </row>
    <row r="458">
      <c r="A458" s="20"/>
    </row>
    <row r="459">
      <c r="A459" s="20"/>
    </row>
    <row r="460">
      <c r="A460" s="20"/>
    </row>
    <row r="461">
      <c r="A461" s="20"/>
    </row>
    <row r="462">
      <c r="A462" s="20"/>
    </row>
    <row r="463">
      <c r="A463" s="20"/>
    </row>
    <row r="464">
      <c r="A464" s="20"/>
    </row>
    <row r="465">
      <c r="A465" s="20"/>
    </row>
    <row r="466">
      <c r="A466" s="20"/>
    </row>
    <row r="467">
      <c r="A467" s="20"/>
    </row>
    <row r="468">
      <c r="A468" s="20"/>
    </row>
    <row r="469">
      <c r="A469" s="20"/>
    </row>
    <row r="470">
      <c r="A470" s="20"/>
    </row>
    <row r="471">
      <c r="A471" s="20"/>
    </row>
    <row r="472">
      <c r="A472" s="20"/>
    </row>
    <row r="473">
      <c r="A473" s="20"/>
    </row>
    <row r="474">
      <c r="A474" s="20"/>
    </row>
    <row r="475">
      <c r="A475" s="20"/>
    </row>
    <row r="476">
      <c r="A476" s="20"/>
    </row>
    <row r="477">
      <c r="A477" s="20"/>
    </row>
    <row r="478">
      <c r="A478" s="20"/>
    </row>
    <row r="479">
      <c r="A479" s="20"/>
    </row>
    <row r="480">
      <c r="A480" s="20"/>
    </row>
    <row r="481">
      <c r="A481" s="20"/>
    </row>
    <row r="482">
      <c r="A482" s="20"/>
    </row>
    <row r="483">
      <c r="A483" s="20"/>
    </row>
    <row r="484">
      <c r="A484" s="20"/>
    </row>
    <row r="485">
      <c r="A485" s="20"/>
    </row>
    <row r="486">
      <c r="A486" s="20"/>
    </row>
    <row r="487">
      <c r="A487" s="20"/>
    </row>
    <row r="488">
      <c r="A488" s="20"/>
    </row>
    <row r="489">
      <c r="A489" s="20"/>
    </row>
    <row r="490">
      <c r="A490" s="20"/>
    </row>
    <row r="491">
      <c r="A491" s="20"/>
    </row>
    <row r="492">
      <c r="A492" s="20"/>
    </row>
    <row r="493">
      <c r="A493" s="20"/>
    </row>
    <row r="494">
      <c r="A494" s="20"/>
    </row>
    <row r="495">
      <c r="A495" s="20"/>
    </row>
    <row r="496">
      <c r="A496" s="20"/>
    </row>
    <row r="497">
      <c r="A497" s="20"/>
    </row>
    <row r="498">
      <c r="A498" s="20"/>
    </row>
    <row r="499">
      <c r="A499" s="20"/>
    </row>
    <row r="500">
      <c r="A500" s="20"/>
    </row>
    <row r="501">
      <c r="A501" s="20"/>
    </row>
    <row r="502">
      <c r="A502" s="20"/>
    </row>
    <row r="503">
      <c r="A503" s="20"/>
    </row>
    <row r="504">
      <c r="A504" s="20"/>
    </row>
    <row r="505">
      <c r="A505" s="20"/>
    </row>
    <row r="506">
      <c r="A506" s="20"/>
    </row>
    <row r="507">
      <c r="A507" s="20"/>
    </row>
    <row r="508">
      <c r="A508" s="20"/>
    </row>
    <row r="509">
      <c r="A509" s="20"/>
    </row>
    <row r="510">
      <c r="A510" s="20"/>
    </row>
    <row r="511">
      <c r="A511" s="20"/>
    </row>
    <row r="512">
      <c r="A512" s="20"/>
    </row>
    <row r="513">
      <c r="A513" s="20"/>
    </row>
    <row r="514">
      <c r="A514" s="20"/>
    </row>
    <row r="515">
      <c r="A515" s="20"/>
    </row>
    <row r="516">
      <c r="A516" s="20"/>
    </row>
    <row r="517">
      <c r="A517" s="20"/>
    </row>
    <row r="518">
      <c r="A518" s="20"/>
    </row>
    <row r="519">
      <c r="A519" s="20"/>
    </row>
    <row r="520">
      <c r="A520" s="20"/>
    </row>
    <row r="521">
      <c r="A521" s="20"/>
    </row>
    <row r="522">
      <c r="A522" s="20"/>
    </row>
    <row r="523">
      <c r="A523" s="20"/>
    </row>
    <row r="524">
      <c r="A524" s="20"/>
    </row>
    <row r="525">
      <c r="A525" s="20"/>
    </row>
    <row r="526">
      <c r="A526" s="20"/>
    </row>
    <row r="527">
      <c r="A527" s="20"/>
    </row>
    <row r="528">
      <c r="A528" s="20"/>
    </row>
    <row r="529">
      <c r="A529" s="20"/>
    </row>
    <row r="530">
      <c r="A530" s="20"/>
    </row>
    <row r="531">
      <c r="A531" s="20"/>
    </row>
    <row r="532">
      <c r="A532" s="20"/>
    </row>
    <row r="533">
      <c r="A533" s="20"/>
    </row>
    <row r="534">
      <c r="A534" s="20"/>
    </row>
    <row r="535">
      <c r="A535" s="20"/>
    </row>
    <row r="536">
      <c r="A536" s="20"/>
    </row>
    <row r="537">
      <c r="A537" s="20"/>
    </row>
    <row r="538">
      <c r="A538" s="20"/>
    </row>
    <row r="539">
      <c r="A539" s="20"/>
    </row>
    <row r="540">
      <c r="A540" s="20"/>
    </row>
    <row r="541">
      <c r="A541" s="20"/>
    </row>
    <row r="542">
      <c r="A542" s="20"/>
    </row>
    <row r="543">
      <c r="A543" s="20"/>
    </row>
    <row r="544">
      <c r="A544" s="20"/>
    </row>
    <row r="545">
      <c r="A545" s="20"/>
    </row>
    <row r="546">
      <c r="A546" s="20"/>
    </row>
    <row r="547">
      <c r="A547" s="20"/>
    </row>
    <row r="548">
      <c r="A548" s="20"/>
    </row>
    <row r="549">
      <c r="A549" s="20"/>
    </row>
    <row r="550">
      <c r="A550" s="20"/>
    </row>
    <row r="551">
      <c r="A551" s="20"/>
    </row>
    <row r="552">
      <c r="A552" s="20"/>
    </row>
    <row r="553">
      <c r="A553" s="20"/>
    </row>
    <row r="554">
      <c r="A554" s="20"/>
    </row>
    <row r="555">
      <c r="A555" s="20"/>
    </row>
    <row r="556">
      <c r="A556" s="20"/>
    </row>
    <row r="557">
      <c r="A557" s="20"/>
    </row>
    <row r="558">
      <c r="A558" s="20"/>
    </row>
    <row r="559">
      <c r="A559" s="20"/>
    </row>
    <row r="560">
      <c r="A560" s="20"/>
    </row>
    <row r="561">
      <c r="A561" s="20"/>
    </row>
    <row r="562">
      <c r="A562" s="20"/>
    </row>
    <row r="563">
      <c r="A563" s="20"/>
    </row>
    <row r="564">
      <c r="A564" s="20"/>
    </row>
    <row r="565">
      <c r="A565" s="20"/>
    </row>
    <row r="566">
      <c r="A566" s="20"/>
    </row>
    <row r="567">
      <c r="A567" s="20"/>
    </row>
    <row r="568">
      <c r="A568" s="20"/>
    </row>
    <row r="569">
      <c r="A569" s="20"/>
    </row>
    <row r="570">
      <c r="A570" s="20"/>
    </row>
    <row r="571">
      <c r="A571" s="20"/>
    </row>
    <row r="572">
      <c r="A572" s="20"/>
    </row>
    <row r="573">
      <c r="A573" s="20"/>
    </row>
    <row r="574">
      <c r="A574" s="20"/>
    </row>
    <row r="575">
      <c r="A575" s="20"/>
    </row>
    <row r="576">
      <c r="A576" s="20"/>
    </row>
    <row r="577">
      <c r="A577" s="20"/>
    </row>
    <row r="578">
      <c r="A578" s="20"/>
    </row>
    <row r="579">
      <c r="A579" s="20"/>
    </row>
    <row r="580">
      <c r="A580" s="20"/>
    </row>
    <row r="581">
      <c r="A581" s="20"/>
    </row>
    <row r="582">
      <c r="A582" s="20"/>
    </row>
    <row r="583">
      <c r="A583" s="20"/>
    </row>
    <row r="584">
      <c r="A584" s="20"/>
    </row>
    <row r="585">
      <c r="A585" s="20"/>
    </row>
    <row r="586">
      <c r="A586" s="20"/>
    </row>
    <row r="587">
      <c r="A587" s="20"/>
    </row>
    <row r="588">
      <c r="A588" s="20"/>
    </row>
    <row r="589">
      <c r="A589" s="20"/>
    </row>
    <row r="590">
      <c r="A590" s="20"/>
    </row>
    <row r="591">
      <c r="A591" s="20"/>
    </row>
    <row r="592">
      <c r="A592" s="20"/>
    </row>
    <row r="593">
      <c r="A593" s="20"/>
    </row>
    <row r="594">
      <c r="A594" s="20"/>
    </row>
    <row r="595">
      <c r="A595" s="20"/>
    </row>
    <row r="596">
      <c r="A596" s="20"/>
    </row>
    <row r="597">
      <c r="A597" s="20"/>
    </row>
    <row r="598">
      <c r="A598" s="20"/>
    </row>
    <row r="599">
      <c r="A599" s="20"/>
    </row>
    <row r="600">
      <c r="A600" s="20"/>
    </row>
    <row r="601">
      <c r="A601" s="20"/>
    </row>
    <row r="602">
      <c r="A602" s="20"/>
    </row>
    <row r="603">
      <c r="A603" s="20"/>
    </row>
    <row r="604">
      <c r="A604" s="20"/>
    </row>
    <row r="605">
      <c r="A605" s="20"/>
    </row>
    <row r="606">
      <c r="A606" s="20"/>
    </row>
    <row r="607">
      <c r="A607" s="20"/>
    </row>
    <row r="608">
      <c r="A608" s="20"/>
    </row>
    <row r="609">
      <c r="A609" s="20"/>
    </row>
    <row r="610">
      <c r="A610" s="20"/>
    </row>
    <row r="611">
      <c r="A611" s="20"/>
    </row>
    <row r="612">
      <c r="A612" s="20"/>
    </row>
    <row r="613">
      <c r="A613" s="20"/>
    </row>
    <row r="614">
      <c r="A614" s="20"/>
    </row>
    <row r="615">
      <c r="A615" s="20"/>
    </row>
    <row r="616">
      <c r="A616" s="20"/>
    </row>
    <row r="617">
      <c r="A617" s="20"/>
    </row>
    <row r="618">
      <c r="A618" s="20"/>
    </row>
    <row r="619">
      <c r="A619" s="20"/>
    </row>
    <row r="620">
      <c r="A620" s="20"/>
    </row>
    <row r="621">
      <c r="A621" s="20"/>
    </row>
    <row r="622">
      <c r="A622" s="20"/>
    </row>
    <row r="623">
      <c r="A623" s="20"/>
    </row>
    <row r="624">
      <c r="A624" s="20"/>
    </row>
    <row r="625">
      <c r="A625" s="20"/>
    </row>
    <row r="626">
      <c r="A626" s="20"/>
    </row>
    <row r="627">
      <c r="A627" s="20"/>
    </row>
    <row r="628">
      <c r="A628" s="20"/>
    </row>
    <row r="629">
      <c r="A629" s="20"/>
    </row>
    <row r="630">
      <c r="A630" s="20"/>
    </row>
    <row r="631">
      <c r="A631" s="20"/>
    </row>
    <row r="632">
      <c r="A632" s="20"/>
    </row>
    <row r="633">
      <c r="A633" s="20"/>
    </row>
    <row r="634">
      <c r="A634" s="20"/>
    </row>
    <row r="635">
      <c r="A635" s="20"/>
    </row>
    <row r="636">
      <c r="A636" s="20"/>
    </row>
    <row r="637">
      <c r="A637" s="20"/>
    </row>
    <row r="638">
      <c r="A638" s="20"/>
    </row>
    <row r="639">
      <c r="A639" s="20"/>
    </row>
    <row r="640">
      <c r="A640" s="20"/>
    </row>
    <row r="641">
      <c r="A641" s="20"/>
    </row>
    <row r="642">
      <c r="A642" s="20"/>
    </row>
    <row r="643">
      <c r="A643" s="20"/>
    </row>
    <row r="644">
      <c r="A644" s="20"/>
    </row>
    <row r="645">
      <c r="A645" s="20"/>
    </row>
    <row r="646">
      <c r="A646" s="20"/>
    </row>
    <row r="647">
      <c r="A647" s="20"/>
    </row>
    <row r="648">
      <c r="A648" s="20"/>
    </row>
    <row r="649">
      <c r="A649" s="20"/>
    </row>
    <row r="650">
      <c r="A650" s="20"/>
    </row>
    <row r="651">
      <c r="A651" s="20"/>
    </row>
    <row r="652">
      <c r="A652" s="20"/>
    </row>
    <row r="653">
      <c r="A653" s="20"/>
    </row>
    <row r="654">
      <c r="A654" s="20"/>
    </row>
    <row r="655">
      <c r="A655" s="20"/>
    </row>
    <row r="656">
      <c r="A656" s="20"/>
    </row>
    <row r="657">
      <c r="A657" s="20"/>
    </row>
    <row r="658">
      <c r="A658" s="20"/>
    </row>
    <row r="659">
      <c r="A659" s="20"/>
    </row>
    <row r="660">
      <c r="A660" s="20"/>
    </row>
    <row r="661">
      <c r="A661" s="20"/>
    </row>
    <row r="662">
      <c r="A662" s="20"/>
    </row>
    <row r="663">
      <c r="A663" s="20"/>
    </row>
    <row r="664">
      <c r="A664" s="20"/>
    </row>
    <row r="665">
      <c r="A665" s="20"/>
    </row>
    <row r="666">
      <c r="A666" s="20"/>
    </row>
    <row r="667">
      <c r="A667" s="20"/>
    </row>
    <row r="668">
      <c r="A668" s="20"/>
    </row>
    <row r="669">
      <c r="A669" s="20"/>
    </row>
    <row r="670">
      <c r="A670" s="20"/>
    </row>
    <row r="671">
      <c r="A671" s="20"/>
    </row>
    <row r="672">
      <c r="A672" s="20"/>
    </row>
    <row r="673">
      <c r="A673" s="20"/>
    </row>
    <row r="674">
      <c r="A674" s="20"/>
    </row>
    <row r="675">
      <c r="A675" s="20"/>
    </row>
    <row r="676">
      <c r="A676" s="20"/>
    </row>
    <row r="677">
      <c r="A677" s="20"/>
    </row>
    <row r="678">
      <c r="A678" s="20"/>
    </row>
    <row r="679">
      <c r="A679" s="20"/>
    </row>
    <row r="680">
      <c r="A680" s="20"/>
    </row>
    <row r="681">
      <c r="A681" s="20"/>
    </row>
    <row r="682">
      <c r="A682" s="20"/>
    </row>
    <row r="683">
      <c r="A683" s="20"/>
    </row>
    <row r="684">
      <c r="A684" s="20"/>
    </row>
    <row r="685">
      <c r="A685" s="20"/>
    </row>
    <row r="686">
      <c r="A686" s="20"/>
    </row>
    <row r="687">
      <c r="A687" s="20"/>
    </row>
    <row r="688">
      <c r="A688" s="20"/>
    </row>
    <row r="689">
      <c r="A689" s="20"/>
    </row>
    <row r="690">
      <c r="A690" s="20"/>
    </row>
    <row r="691">
      <c r="A691" s="20"/>
    </row>
    <row r="692">
      <c r="A692" s="20"/>
    </row>
    <row r="693">
      <c r="A693" s="20"/>
    </row>
    <row r="694">
      <c r="A694" s="20"/>
    </row>
    <row r="695">
      <c r="A695" s="20"/>
    </row>
    <row r="696">
      <c r="A696" s="20"/>
    </row>
    <row r="697">
      <c r="A697" s="20"/>
    </row>
    <row r="698">
      <c r="A698" s="20"/>
    </row>
    <row r="699">
      <c r="A699" s="20"/>
    </row>
    <row r="700">
      <c r="A700" s="20"/>
    </row>
    <row r="701">
      <c r="A701" s="20"/>
    </row>
    <row r="702">
      <c r="A702" s="20"/>
    </row>
    <row r="703">
      <c r="A703" s="20"/>
    </row>
    <row r="704">
      <c r="A704" s="20"/>
    </row>
    <row r="705">
      <c r="A705" s="20"/>
    </row>
    <row r="706">
      <c r="A706" s="20"/>
    </row>
    <row r="707">
      <c r="A707" s="20"/>
    </row>
    <row r="708">
      <c r="A708" s="20"/>
    </row>
    <row r="709">
      <c r="A709" s="20"/>
    </row>
    <row r="710">
      <c r="A710" s="20"/>
    </row>
    <row r="711">
      <c r="A711" s="20"/>
    </row>
    <row r="712">
      <c r="A712" s="20"/>
    </row>
    <row r="713">
      <c r="A713" s="20"/>
    </row>
    <row r="714">
      <c r="A714" s="20"/>
    </row>
    <row r="715">
      <c r="A715" s="20"/>
    </row>
    <row r="716">
      <c r="A716" s="20"/>
    </row>
    <row r="717">
      <c r="A717" s="20"/>
    </row>
    <row r="718">
      <c r="A718" s="20"/>
    </row>
    <row r="719">
      <c r="A719" s="20"/>
    </row>
    <row r="720">
      <c r="A720" s="20"/>
    </row>
    <row r="721">
      <c r="A721" s="20"/>
    </row>
    <row r="722">
      <c r="A722" s="20"/>
    </row>
    <row r="723">
      <c r="A723" s="20"/>
    </row>
    <row r="724">
      <c r="A724" s="20"/>
    </row>
    <row r="725">
      <c r="A725" s="20"/>
    </row>
    <row r="726">
      <c r="A726" s="20"/>
    </row>
    <row r="727">
      <c r="A727" s="20"/>
    </row>
    <row r="728">
      <c r="A728" s="20"/>
    </row>
    <row r="729">
      <c r="A729" s="20"/>
    </row>
    <row r="730">
      <c r="A730" s="20"/>
    </row>
    <row r="731">
      <c r="A731" s="20"/>
    </row>
    <row r="732">
      <c r="A732" s="20"/>
    </row>
    <row r="733">
      <c r="A733" s="20"/>
    </row>
    <row r="734">
      <c r="A734" s="20"/>
    </row>
    <row r="735">
      <c r="A735" s="20"/>
    </row>
    <row r="736">
      <c r="A736" s="20"/>
    </row>
    <row r="737">
      <c r="A737" s="20"/>
    </row>
    <row r="738">
      <c r="A738" s="20"/>
    </row>
    <row r="739">
      <c r="A739" s="20"/>
    </row>
    <row r="740">
      <c r="A740" s="20"/>
    </row>
    <row r="741">
      <c r="A741" s="20"/>
    </row>
    <row r="742">
      <c r="A742" s="20"/>
    </row>
    <row r="743">
      <c r="A743" s="20"/>
    </row>
    <row r="744">
      <c r="A744" s="20"/>
    </row>
    <row r="745">
      <c r="A745" s="20"/>
    </row>
    <row r="746">
      <c r="A746" s="20"/>
    </row>
    <row r="747">
      <c r="A747" s="20"/>
    </row>
    <row r="748">
      <c r="A748" s="20"/>
    </row>
    <row r="749">
      <c r="A749" s="20"/>
    </row>
    <row r="750">
      <c r="A750" s="20"/>
    </row>
    <row r="751">
      <c r="A751" s="20"/>
    </row>
    <row r="752">
      <c r="A752" s="20"/>
    </row>
    <row r="753">
      <c r="A753" s="20"/>
    </row>
    <row r="754">
      <c r="A754" s="20"/>
    </row>
    <row r="755">
      <c r="A755" s="20"/>
    </row>
    <row r="756">
      <c r="A756" s="20"/>
    </row>
    <row r="757">
      <c r="A757" s="20"/>
    </row>
    <row r="758">
      <c r="A758" s="20"/>
    </row>
    <row r="759">
      <c r="A759" s="20"/>
    </row>
    <row r="760">
      <c r="A760" s="20"/>
    </row>
    <row r="761">
      <c r="A761" s="20"/>
    </row>
    <row r="762">
      <c r="A762" s="20"/>
    </row>
    <row r="763">
      <c r="A763" s="20"/>
    </row>
    <row r="764">
      <c r="A764" s="20"/>
    </row>
    <row r="765">
      <c r="A765" s="20"/>
    </row>
    <row r="766">
      <c r="A766" s="20"/>
    </row>
    <row r="767">
      <c r="A767" s="20"/>
    </row>
    <row r="768">
      <c r="A768" s="20"/>
    </row>
    <row r="769">
      <c r="A769" s="20"/>
    </row>
    <row r="770">
      <c r="A770" s="20"/>
    </row>
    <row r="771">
      <c r="A771" s="20"/>
    </row>
    <row r="772">
      <c r="A772" s="20"/>
    </row>
    <row r="773">
      <c r="A773" s="20"/>
    </row>
    <row r="774">
      <c r="A774" s="20"/>
    </row>
    <row r="775">
      <c r="A775" s="20"/>
    </row>
    <row r="776">
      <c r="A776" s="20"/>
    </row>
    <row r="777">
      <c r="A777" s="20"/>
    </row>
    <row r="778">
      <c r="A778" s="20"/>
    </row>
    <row r="779">
      <c r="A779" s="20"/>
    </row>
    <row r="780">
      <c r="A780" s="20"/>
    </row>
    <row r="781">
      <c r="A781" s="20"/>
    </row>
    <row r="782">
      <c r="A782" s="20"/>
    </row>
    <row r="783">
      <c r="A783" s="20"/>
    </row>
    <row r="784">
      <c r="A784" s="20"/>
    </row>
    <row r="785">
      <c r="A785" s="20"/>
    </row>
    <row r="786">
      <c r="A786" s="20"/>
    </row>
    <row r="787">
      <c r="A787" s="20"/>
    </row>
    <row r="788">
      <c r="A788" s="20"/>
    </row>
    <row r="789">
      <c r="A789" s="20"/>
    </row>
    <row r="790">
      <c r="A790" s="20"/>
    </row>
    <row r="791">
      <c r="A791" s="20"/>
    </row>
    <row r="792">
      <c r="A792" s="20"/>
    </row>
    <row r="793">
      <c r="A793" s="20"/>
    </row>
    <row r="794">
      <c r="A794" s="20"/>
    </row>
    <row r="795">
      <c r="A795" s="20"/>
    </row>
    <row r="796">
      <c r="A796" s="20"/>
    </row>
    <row r="797">
      <c r="A797" s="20"/>
    </row>
    <row r="798">
      <c r="A798" s="20"/>
    </row>
    <row r="799">
      <c r="A799" s="20"/>
    </row>
    <row r="800">
      <c r="A800" s="20"/>
    </row>
    <row r="801">
      <c r="A801" s="20"/>
    </row>
    <row r="802">
      <c r="A802" s="20"/>
    </row>
    <row r="803">
      <c r="A803" s="20"/>
    </row>
    <row r="804">
      <c r="A804" s="20"/>
    </row>
    <row r="805">
      <c r="A805" s="20"/>
    </row>
    <row r="806">
      <c r="A806" s="20"/>
    </row>
    <row r="807">
      <c r="A807" s="20"/>
    </row>
    <row r="808">
      <c r="A808" s="20"/>
    </row>
    <row r="809">
      <c r="A809" s="20"/>
    </row>
    <row r="810">
      <c r="A810" s="20"/>
    </row>
    <row r="811">
      <c r="A811" s="20"/>
    </row>
    <row r="812">
      <c r="A812" s="20"/>
    </row>
    <row r="813">
      <c r="A813" s="20"/>
    </row>
    <row r="814">
      <c r="A814" s="20"/>
    </row>
    <row r="815">
      <c r="A815" s="20"/>
    </row>
    <row r="816">
      <c r="A816" s="20"/>
    </row>
    <row r="817">
      <c r="A817" s="20"/>
    </row>
    <row r="818">
      <c r="A818" s="20"/>
    </row>
    <row r="819">
      <c r="A819" s="20"/>
    </row>
    <row r="820">
      <c r="A820" s="20"/>
    </row>
    <row r="821">
      <c r="A821" s="20"/>
    </row>
    <row r="822">
      <c r="A822" s="20"/>
    </row>
    <row r="823">
      <c r="A823" s="20"/>
    </row>
    <row r="824">
      <c r="A824" s="20"/>
    </row>
    <row r="825">
      <c r="A825" s="20"/>
    </row>
    <row r="826">
      <c r="A826" s="20"/>
    </row>
    <row r="827">
      <c r="A827" s="20"/>
    </row>
    <row r="828">
      <c r="A828" s="20"/>
    </row>
    <row r="829">
      <c r="A829" s="20"/>
    </row>
    <row r="830">
      <c r="A830" s="20"/>
    </row>
    <row r="831">
      <c r="A831" s="20"/>
    </row>
    <row r="832">
      <c r="A832" s="20"/>
    </row>
    <row r="833">
      <c r="A833" s="20"/>
    </row>
    <row r="834">
      <c r="A834" s="20"/>
    </row>
    <row r="835">
      <c r="A835" s="20"/>
    </row>
    <row r="836">
      <c r="A836" s="20"/>
    </row>
    <row r="837">
      <c r="A837" s="20"/>
    </row>
    <row r="838">
      <c r="A838" s="20"/>
    </row>
    <row r="839">
      <c r="A839" s="20"/>
    </row>
    <row r="840">
      <c r="A840" s="20"/>
    </row>
    <row r="841">
      <c r="A841" s="20"/>
    </row>
    <row r="842">
      <c r="A842" s="20"/>
    </row>
    <row r="843">
      <c r="A843" s="20"/>
    </row>
    <row r="844">
      <c r="A844" s="20"/>
    </row>
    <row r="845">
      <c r="A845" s="20"/>
    </row>
    <row r="846">
      <c r="A846" s="20"/>
    </row>
    <row r="847">
      <c r="A847" s="20"/>
    </row>
    <row r="848">
      <c r="A848" s="20"/>
    </row>
    <row r="849">
      <c r="A849" s="20"/>
    </row>
    <row r="850">
      <c r="A850" s="20"/>
    </row>
    <row r="851">
      <c r="A851" s="20"/>
    </row>
    <row r="852">
      <c r="A852" s="20"/>
    </row>
    <row r="853">
      <c r="A853" s="20"/>
    </row>
    <row r="854">
      <c r="A854" s="20"/>
    </row>
    <row r="855">
      <c r="A855" s="20"/>
    </row>
    <row r="856">
      <c r="A856" s="20"/>
    </row>
    <row r="857">
      <c r="A857" s="20"/>
    </row>
    <row r="858">
      <c r="A858" s="20"/>
    </row>
    <row r="859">
      <c r="A859" s="20"/>
    </row>
    <row r="860">
      <c r="A860" s="20"/>
    </row>
    <row r="861">
      <c r="A861" s="20"/>
    </row>
    <row r="862">
      <c r="A862" s="20"/>
    </row>
    <row r="863">
      <c r="A863" s="20"/>
    </row>
    <row r="864">
      <c r="A864" s="20"/>
    </row>
    <row r="865">
      <c r="A865" s="20"/>
    </row>
    <row r="866">
      <c r="A866" s="20"/>
    </row>
    <row r="867">
      <c r="A867" s="20"/>
    </row>
    <row r="868">
      <c r="A868" s="20"/>
    </row>
    <row r="869">
      <c r="A869" s="20"/>
    </row>
    <row r="870">
      <c r="A870" s="20"/>
    </row>
    <row r="871">
      <c r="A871" s="20"/>
    </row>
    <row r="872">
      <c r="A872" s="20"/>
    </row>
    <row r="873">
      <c r="A873" s="20"/>
    </row>
    <row r="874">
      <c r="A874" s="20"/>
    </row>
    <row r="875">
      <c r="A875" s="20"/>
    </row>
    <row r="876">
      <c r="A876" s="20"/>
    </row>
    <row r="877">
      <c r="A877" s="20"/>
    </row>
    <row r="878">
      <c r="A878" s="20"/>
    </row>
    <row r="879">
      <c r="A879" s="20"/>
    </row>
    <row r="880">
      <c r="A880" s="20"/>
    </row>
    <row r="881">
      <c r="A881" s="20"/>
    </row>
    <row r="882">
      <c r="A882" s="20"/>
    </row>
    <row r="883">
      <c r="A883" s="20"/>
    </row>
    <row r="884">
      <c r="A884" s="20"/>
    </row>
    <row r="885">
      <c r="A885" s="20"/>
    </row>
    <row r="886">
      <c r="A886" s="20"/>
    </row>
    <row r="887">
      <c r="A887" s="20"/>
    </row>
    <row r="888">
      <c r="A888" s="20"/>
    </row>
    <row r="889">
      <c r="A889" s="20"/>
    </row>
    <row r="890">
      <c r="A890" s="20"/>
    </row>
    <row r="891">
      <c r="A891" s="20"/>
    </row>
    <row r="892">
      <c r="A892" s="20"/>
    </row>
    <row r="893">
      <c r="A893" s="20"/>
    </row>
    <row r="894">
      <c r="A894" s="20"/>
    </row>
    <row r="895">
      <c r="A895" s="20"/>
    </row>
    <row r="896">
      <c r="A896" s="20"/>
    </row>
    <row r="897">
      <c r="A897" s="20"/>
    </row>
    <row r="898">
      <c r="A898" s="20"/>
    </row>
    <row r="899">
      <c r="A899" s="20"/>
    </row>
    <row r="900">
      <c r="A900" s="20"/>
    </row>
    <row r="901">
      <c r="A901" s="20"/>
    </row>
    <row r="902">
      <c r="A902" s="20"/>
    </row>
    <row r="903">
      <c r="A903" s="20"/>
    </row>
    <row r="904">
      <c r="A904" s="20"/>
    </row>
    <row r="905">
      <c r="A905" s="20"/>
    </row>
    <row r="906">
      <c r="A906" s="20"/>
    </row>
    <row r="907">
      <c r="A907" s="20"/>
    </row>
    <row r="908">
      <c r="A908" s="20"/>
    </row>
    <row r="909">
      <c r="A909" s="20"/>
    </row>
    <row r="910">
      <c r="A910" s="20"/>
    </row>
    <row r="911">
      <c r="A911" s="20"/>
    </row>
    <row r="912">
      <c r="A912" s="20"/>
    </row>
    <row r="913">
      <c r="A913" s="20"/>
    </row>
    <row r="914">
      <c r="A914" s="20"/>
    </row>
    <row r="915">
      <c r="A915" s="20"/>
    </row>
    <row r="916">
      <c r="A916" s="20"/>
    </row>
    <row r="917">
      <c r="A917" s="20"/>
    </row>
    <row r="918">
      <c r="A918" s="20"/>
    </row>
    <row r="919">
      <c r="A919" s="20"/>
    </row>
    <row r="920">
      <c r="A920" s="20"/>
    </row>
    <row r="921">
      <c r="A921" s="20"/>
    </row>
    <row r="922">
      <c r="A922" s="20"/>
    </row>
    <row r="923">
      <c r="A923" s="20"/>
    </row>
    <row r="924">
      <c r="A924" s="20"/>
    </row>
    <row r="925">
      <c r="A925" s="20"/>
    </row>
    <row r="926">
      <c r="A926" s="20"/>
    </row>
    <row r="927">
      <c r="A927" s="20"/>
    </row>
    <row r="928">
      <c r="A928" s="20"/>
    </row>
    <row r="929">
      <c r="A929" s="20"/>
    </row>
    <row r="930">
      <c r="A930" s="20"/>
    </row>
    <row r="931">
      <c r="A931" s="20"/>
    </row>
    <row r="932">
      <c r="A932" s="20"/>
    </row>
    <row r="933">
      <c r="A933" s="20"/>
    </row>
    <row r="934">
      <c r="A934" s="20"/>
    </row>
    <row r="935">
      <c r="A935" s="20"/>
    </row>
    <row r="936">
      <c r="A936" s="20"/>
    </row>
    <row r="937">
      <c r="A937" s="20"/>
    </row>
    <row r="938">
      <c r="A938" s="20"/>
    </row>
    <row r="939">
      <c r="A939" s="20"/>
    </row>
    <row r="940">
      <c r="A940" s="20"/>
    </row>
    <row r="941">
      <c r="A941" s="20"/>
    </row>
    <row r="942">
      <c r="A942" s="20"/>
    </row>
    <row r="943">
      <c r="A943" s="20"/>
    </row>
    <row r="944">
      <c r="A944" s="20"/>
    </row>
    <row r="945">
      <c r="A945" s="20"/>
    </row>
    <row r="946">
      <c r="A946" s="20"/>
    </row>
    <row r="947">
      <c r="A947" s="20"/>
    </row>
    <row r="948">
      <c r="A948" s="20"/>
    </row>
    <row r="949">
      <c r="A949" s="20"/>
    </row>
    <row r="950">
      <c r="A950" s="20"/>
    </row>
    <row r="951">
      <c r="A951" s="20"/>
    </row>
    <row r="952">
      <c r="A952" s="20"/>
    </row>
    <row r="953">
      <c r="A953" s="20"/>
    </row>
    <row r="954">
      <c r="A954" s="20"/>
    </row>
    <row r="955">
      <c r="A955" s="20"/>
    </row>
    <row r="956">
      <c r="A956" s="20"/>
    </row>
    <row r="957">
      <c r="A957" s="20"/>
    </row>
    <row r="958">
      <c r="A958" s="20"/>
    </row>
    <row r="959">
      <c r="A959" s="20"/>
    </row>
    <row r="960">
      <c r="A960" s="20"/>
    </row>
    <row r="961">
      <c r="A961" s="20"/>
    </row>
    <row r="962">
      <c r="A962" s="20"/>
    </row>
    <row r="963">
      <c r="A963" s="20"/>
    </row>
    <row r="964">
      <c r="A964" s="20"/>
    </row>
    <row r="965">
      <c r="A965" s="20"/>
    </row>
    <row r="966">
      <c r="A966" s="20"/>
    </row>
    <row r="967">
      <c r="A967" s="20"/>
    </row>
    <row r="968">
      <c r="A968" s="20"/>
    </row>
    <row r="969">
      <c r="A969" s="20"/>
    </row>
    <row r="970">
      <c r="A970" s="20"/>
    </row>
    <row r="971">
      <c r="A971" s="20"/>
    </row>
    <row r="972">
      <c r="A972" s="20"/>
    </row>
    <row r="973">
      <c r="A973" s="20"/>
    </row>
    <row r="974">
      <c r="A974" s="20"/>
    </row>
    <row r="975">
      <c r="A975" s="20"/>
    </row>
    <row r="976">
      <c r="A976" s="20"/>
    </row>
    <row r="977">
      <c r="A977" s="20"/>
    </row>
    <row r="978">
      <c r="A978" s="20"/>
    </row>
    <row r="979">
      <c r="A979" s="20"/>
    </row>
    <row r="980">
      <c r="A980" s="20"/>
    </row>
    <row r="981">
      <c r="A981" s="20"/>
    </row>
    <row r="982">
      <c r="A982" s="20"/>
    </row>
    <row r="983">
      <c r="A983" s="20"/>
    </row>
    <row r="984">
      <c r="A984" s="20"/>
    </row>
    <row r="985">
      <c r="A985" s="20"/>
    </row>
    <row r="986">
      <c r="A986" s="20"/>
    </row>
    <row r="987">
      <c r="A987" s="20"/>
    </row>
    <row r="988">
      <c r="A988" s="20"/>
    </row>
    <row r="989">
      <c r="A989" s="20"/>
    </row>
    <row r="990">
      <c r="A990" s="20"/>
    </row>
    <row r="991">
      <c r="A991" s="20"/>
    </row>
    <row r="992">
      <c r="A992" s="20"/>
    </row>
    <row r="993">
      <c r="A993" s="20"/>
    </row>
    <row r="994">
      <c r="A994" s="20"/>
    </row>
    <row r="995">
      <c r="A995" s="20"/>
    </row>
    <row r="996">
      <c r="A996" s="20"/>
    </row>
    <row r="997">
      <c r="A997" s="20"/>
    </row>
    <row r="998">
      <c r="A998" s="20"/>
    </row>
    <row r="999">
      <c r="A999" s="20"/>
    </row>
    <row r="1000">
      <c r="A1000" s="20"/>
    </row>
    <row r="1001">
      <c r="A1001" s="20"/>
    </row>
    <row r="1002">
      <c r="A1002" s="20"/>
    </row>
    <row r="1003">
      <c r="A1003" s="20"/>
    </row>
    <row r="1004">
      <c r="A1004" s="20"/>
    </row>
    <row r="1005">
      <c r="A1005" s="20"/>
    </row>
    <row r="1006">
      <c r="A1006" s="20"/>
    </row>
    <row r="1007">
      <c r="A1007" s="20"/>
    </row>
    <row r="1008">
      <c r="A1008" s="20"/>
    </row>
    <row r="1009">
      <c r="A1009" s="20"/>
    </row>
    <row r="1010">
      <c r="A1010" s="20"/>
    </row>
    <row r="1011">
      <c r="A1011" s="20"/>
    </row>
    <row r="1012">
      <c r="A1012" s="20"/>
    </row>
    <row r="1013">
      <c r="A1013" s="20"/>
    </row>
    <row r="1014">
      <c r="A1014" s="20"/>
    </row>
    <row r="1015">
      <c r="A1015" s="20"/>
    </row>
    <row r="1016">
      <c r="A1016" s="20"/>
    </row>
    <row r="1017">
      <c r="A1017" s="2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88"/>
    <col customWidth="1" min="2" max="2" width="42.38"/>
  </cols>
  <sheetData>
    <row r="1">
      <c r="A1" s="39"/>
      <c r="B1" s="40" t="s">
        <v>160</v>
      </c>
      <c r="C1" s="39"/>
      <c r="D1" s="39"/>
      <c r="E1" s="39"/>
      <c r="F1" s="41"/>
      <c r="G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>
      <c r="B2" s="7" t="s">
        <v>162</v>
      </c>
    </row>
    <row r="4">
      <c r="A4" s="39"/>
      <c r="B4" s="44" t="s">
        <v>163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>
      <c r="B5" s="7" t="s">
        <v>164</v>
      </c>
    </row>
    <row r="7">
      <c r="A7" s="39"/>
      <c r="B7" s="44" t="s">
        <v>166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>
      <c r="B8" s="7" t="s">
        <v>167</v>
      </c>
    </row>
    <row r="10">
      <c r="A10" s="39"/>
      <c r="B10" s="44" t="s">
        <v>169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>
      <c r="B11" s="7" t="s">
        <v>171</v>
      </c>
    </row>
    <row r="13">
      <c r="A13" s="39"/>
      <c r="B13" s="44" t="s">
        <v>173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>
      <c r="B14" s="7" t="s">
        <v>176</v>
      </c>
    </row>
    <row r="16">
      <c r="A16" s="39"/>
      <c r="B16" s="44" t="s">
        <v>177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>
      <c r="B17" s="7" t="s">
        <v>179</v>
      </c>
    </row>
    <row r="19">
      <c r="A19" s="39"/>
      <c r="B19" s="44" t="s">
        <v>180</v>
      </c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>
      <c r="B20" s="7" t="s">
        <v>184</v>
      </c>
    </row>
    <row r="22">
      <c r="A22" s="39"/>
      <c r="B22" s="44" t="s">
        <v>185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>
      <c r="B23" s="7" t="s">
        <v>187</v>
      </c>
    </row>
    <row r="25">
      <c r="A25" s="39"/>
      <c r="B25" s="44" t="s">
        <v>189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>
      <c r="B26" s="7" t="s">
        <v>191</v>
      </c>
    </row>
    <row r="28">
      <c r="A28" s="39"/>
      <c r="B28" s="44" t="s">
        <v>192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>
      <c r="B29" s="7" t="s">
        <v>194</v>
      </c>
    </row>
    <row r="31">
      <c r="A31" s="39"/>
      <c r="B31" s="44" t="s">
        <v>195</v>
      </c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>
      <c r="B32" s="7" t="s">
        <v>198</v>
      </c>
    </row>
    <row r="34">
      <c r="A34" s="39"/>
      <c r="B34" s="44" t="s">
        <v>201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>
      <c r="B35" s="7" t="s">
        <v>203</v>
      </c>
    </row>
    <row r="37">
      <c r="A37" s="39"/>
      <c r="B37" s="44" t="s">
        <v>205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>
      <c r="B38" s="7" t="s">
        <v>208</v>
      </c>
    </row>
    <row r="40">
      <c r="A40" s="39"/>
      <c r="B40" s="44" t="s">
        <v>209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>
      <c r="B41" s="7" t="s">
        <v>211</v>
      </c>
    </row>
    <row r="43">
      <c r="A43" s="39"/>
      <c r="B43" s="44" t="s">
        <v>212</v>
      </c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>
      <c r="B44" s="7" t="s">
        <v>215</v>
      </c>
    </row>
    <row r="46">
      <c r="A46" s="39"/>
      <c r="B46" s="44" t="s">
        <v>216</v>
      </c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>
      <c r="B47" s="7" t="s">
        <v>218</v>
      </c>
    </row>
    <row r="49">
      <c r="A49" s="39"/>
      <c r="B49" s="44" t="s">
        <v>219</v>
      </c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>
      <c r="B50" s="7" t="s">
        <v>222</v>
      </c>
    </row>
    <row r="52">
      <c r="A52" s="39"/>
      <c r="B52" s="44" t="s">
        <v>224</v>
      </c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>
      <c r="B53" s="7" t="s">
        <v>225</v>
      </c>
    </row>
    <row r="55">
      <c r="A55" s="39"/>
      <c r="B55" s="44" t="s">
        <v>226</v>
      </c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>
      <c r="B56" s="7" t="s">
        <v>228</v>
      </c>
    </row>
    <row r="58">
      <c r="A58" s="39"/>
      <c r="B58" s="44" t="s">
        <v>230</v>
      </c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>
      <c r="B59" s="7" t="s">
        <v>234</v>
      </c>
    </row>
    <row r="61">
      <c r="A61" s="39"/>
      <c r="B61" s="44" t="s">
        <v>236</v>
      </c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>
      <c r="B62" s="7" t="s">
        <v>238</v>
      </c>
    </row>
    <row r="64">
      <c r="A64" s="39"/>
      <c r="B64" s="44" t="s">
        <v>239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>
      <c r="B65" s="7" t="s">
        <v>240</v>
      </c>
    </row>
    <row r="67">
      <c r="A67" s="39"/>
      <c r="B67" s="44" t="s">
        <v>242</v>
      </c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>
      <c r="B68" s="7" t="s">
        <v>243</v>
      </c>
    </row>
    <row r="70">
      <c r="A70" s="39"/>
      <c r="B70" s="44" t="s">
        <v>244</v>
      </c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>
      <c r="B71" s="7" t="s">
        <v>246</v>
      </c>
    </row>
    <row r="73">
      <c r="A73" s="39"/>
      <c r="B73" s="44" t="s">
        <v>248</v>
      </c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>
      <c r="B74" s="7" t="s">
        <v>252</v>
      </c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>
      <c r="A76" s="39"/>
      <c r="B76" s="44" t="s">
        <v>255</v>
      </c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>
      <c r="B77" s="7" t="s">
        <v>258</v>
      </c>
    </row>
    <row r="79">
      <c r="A79" s="39"/>
      <c r="B79" s="44" t="s">
        <v>259</v>
      </c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>
      <c r="B80" s="7" t="s">
        <v>260</v>
      </c>
    </row>
    <row r="82">
      <c r="A82" s="39"/>
      <c r="B82" s="44" t="s">
        <v>261</v>
      </c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>
      <c r="B83" s="7" t="s">
        <v>262</v>
      </c>
    </row>
    <row r="85">
      <c r="A85" s="39"/>
      <c r="B85" s="44" t="s">
        <v>263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>
      <c r="B86" s="7" t="s">
        <v>264</v>
      </c>
    </row>
    <row r="88">
      <c r="A88" s="39"/>
      <c r="B88" s="44" t="s">
        <v>265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>
      <c r="B89" s="7" t="s">
        <v>266</v>
      </c>
    </row>
    <row r="91">
      <c r="A91" s="39"/>
      <c r="B91" s="44" t="s">
        <v>267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>
      <c r="B92" s="7" t="s">
        <v>269</v>
      </c>
    </row>
    <row r="94">
      <c r="A94" s="39"/>
      <c r="B94" s="44" t="s">
        <v>270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>
      <c r="B95" s="7" t="s">
        <v>271</v>
      </c>
    </row>
    <row r="97">
      <c r="A97" s="39"/>
      <c r="B97" s="44" t="s">
        <v>273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>
      <c r="B98" s="7" t="s">
        <v>274</v>
      </c>
    </row>
    <row r="100">
      <c r="A100" s="39"/>
      <c r="B100" s="44" t="s">
        <v>275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>
      <c r="B101" s="7" t="s">
        <v>276</v>
      </c>
    </row>
    <row r="103">
      <c r="A103" s="39"/>
      <c r="B103" s="44" t="s">
        <v>277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>
      <c r="B104" s="7" t="s">
        <v>278</v>
      </c>
    </row>
    <row r="106">
      <c r="A106" s="39"/>
      <c r="B106" s="44" t="s">
        <v>279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>
      <c r="B107" s="7" t="s">
        <v>281</v>
      </c>
    </row>
    <row r="109">
      <c r="A109" s="39"/>
      <c r="B109" s="44" t="s">
        <v>282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>
      <c r="B110" s="7" t="s">
        <v>283</v>
      </c>
    </row>
    <row r="112">
      <c r="A112" s="39"/>
      <c r="B112" s="44" t="s">
        <v>284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>
      <c r="B113" s="7" t="s">
        <v>285</v>
      </c>
    </row>
    <row r="115">
      <c r="A115" s="39"/>
      <c r="B115" s="44" t="s">
        <v>286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>
      <c r="B116" s="7" t="s">
        <v>288</v>
      </c>
    </row>
    <row r="118">
      <c r="A118" s="39"/>
      <c r="B118" s="44" t="s">
        <v>289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>
      <c r="B119" s="7" t="s">
        <v>290</v>
      </c>
    </row>
    <row r="121">
      <c r="A121" s="39"/>
      <c r="B121" s="44" t="s">
        <v>291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>
      <c r="B122" s="7" t="s">
        <v>292</v>
      </c>
    </row>
    <row r="124">
      <c r="A124" s="39"/>
      <c r="B124" s="44" t="s">
        <v>293</v>
      </c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>
      <c r="B125" s="7" t="s">
        <v>295</v>
      </c>
    </row>
    <row r="127">
      <c r="A127" s="39"/>
      <c r="B127" s="44" t="s">
        <v>296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>
      <c r="B128" s="7" t="s">
        <v>297</v>
      </c>
    </row>
    <row r="130">
      <c r="A130" s="39"/>
      <c r="B130" s="44" t="s">
        <v>298</v>
      </c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>
      <c r="B131" s="7" t="s">
        <v>300</v>
      </c>
    </row>
    <row r="133">
      <c r="A133" s="39"/>
      <c r="B133" s="44" t="s">
        <v>301</v>
      </c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>
      <c r="B134" s="7" t="s">
        <v>302</v>
      </c>
    </row>
    <row r="136">
      <c r="A136" s="39"/>
      <c r="B136" s="44" t="s">
        <v>303</v>
      </c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>
      <c r="B137" s="7" t="s">
        <v>304</v>
      </c>
    </row>
    <row r="139">
      <c r="A139" s="39"/>
      <c r="B139" s="44" t="s">
        <v>305</v>
      </c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>
      <c r="B140" s="7" t="s">
        <v>307</v>
      </c>
    </row>
    <row r="142">
      <c r="A142" s="39"/>
      <c r="B142" s="44" t="s">
        <v>308</v>
      </c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>
      <c r="B143" s="7" t="s">
        <v>309</v>
      </c>
    </row>
    <row r="145">
      <c r="A145" s="39"/>
      <c r="B145" s="44" t="s">
        <v>310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>
      <c r="B146" s="7" t="s">
        <v>311</v>
      </c>
    </row>
    <row r="148">
      <c r="A148" s="39"/>
      <c r="B148" s="44" t="s">
        <v>312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>
      <c r="B149" s="7" t="s">
        <v>314</v>
      </c>
    </row>
    <row r="151">
      <c r="A151" s="39"/>
      <c r="B151" s="44" t="s">
        <v>315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>
      <c r="B152" s="7" t="s">
        <v>316</v>
      </c>
    </row>
    <row r="154">
      <c r="A154" s="39"/>
      <c r="B154" s="44" t="s">
        <v>317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>
      <c r="B155" s="7" t="s">
        <v>318</v>
      </c>
    </row>
    <row r="157">
      <c r="A157" s="39"/>
      <c r="B157" s="44" t="s">
        <v>321</v>
      </c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>
      <c r="B158" s="7" t="s">
        <v>324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2.88"/>
    <col customWidth="1" min="4" max="4" width="3.5"/>
    <col customWidth="1" min="5" max="5" width="17.25"/>
    <col customWidth="1" min="6" max="6" width="7.38"/>
    <col customWidth="1" min="7" max="7" width="4.63"/>
    <col customWidth="1" min="8" max="8" width="12.63"/>
    <col customWidth="1" min="9" max="9" width="10.13"/>
    <col customWidth="1" min="10" max="10" width="10.63"/>
    <col customWidth="1" min="11" max="11" width="7.38"/>
    <col customWidth="1" min="12" max="12" width="4.63"/>
    <col customWidth="1" min="13" max="13" width="10.13"/>
    <col customWidth="1" min="14" max="14" width="7.38"/>
    <col customWidth="1" min="15" max="15" width="4.63"/>
    <col customWidth="1" min="16" max="16" width="18.0"/>
    <col customWidth="1" min="17" max="17" width="7.38"/>
    <col customWidth="1" min="18" max="18" width="4.75"/>
    <col customWidth="1" min="19" max="19" width="18.0"/>
    <col customWidth="1" min="20" max="20" width="7.38"/>
    <col customWidth="1" min="21" max="21" width="4.75"/>
    <col customWidth="1" min="23" max="23" width="7.38"/>
    <col customWidth="1" min="24" max="24" width="4.63"/>
    <col customWidth="1" min="25" max="25" width="10.13"/>
    <col customWidth="1" min="26" max="27" width="7.38"/>
    <col customWidth="1" min="28" max="28" width="7.88"/>
    <col customWidth="1" min="29" max="31" width="11.38"/>
    <col customWidth="1" min="32" max="32" width="5.88"/>
    <col customWidth="1" min="33" max="33" width="10.63"/>
    <col customWidth="1" min="34" max="34" width="7.0"/>
    <col customWidth="1" min="35" max="35" width="12.88"/>
    <col customWidth="1" min="36" max="37" width="10.13"/>
    <col customWidth="1" min="38" max="38" width="5.88"/>
    <col customWidth="1" min="39" max="39" width="10.13"/>
  </cols>
  <sheetData>
    <row r="1">
      <c r="A1" s="65" t="s">
        <v>231</v>
      </c>
      <c r="B1" s="66" t="s">
        <v>235</v>
      </c>
      <c r="D1" s="67"/>
      <c r="E1" s="66" t="s">
        <v>186</v>
      </c>
      <c r="F1" s="66" t="s">
        <v>188</v>
      </c>
      <c r="G1" s="66"/>
      <c r="H1" s="66" t="s">
        <v>190</v>
      </c>
      <c r="I1" s="66" t="s">
        <v>188</v>
      </c>
      <c r="J1" s="66" t="s">
        <v>193</v>
      </c>
      <c r="K1" s="66" t="s">
        <v>188</v>
      </c>
      <c r="L1" s="66"/>
      <c r="M1" s="66" t="s">
        <v>196</v>
      </c>
      <c r="N1" s="66" t="s">
        <v>188</v>
      </c>
      <c r="O1" s="66"/>
      <c r="P1" s="66" t="s">
        <v>197</v>
      </c>
      <c r="Q1" s="66" t="s">
        <v>188</v>
      </c>
      <c r="R1" s="66"/>
      <c r="S1" s="66" t="s">
        <v>199</v>
      </c>
      <c r="T1" s="66" t="s">
        <v>188</v>
      </c>
      <c r="U1" s="66"/>
      <c r="V1" s="66" t="s">
        <v>200</v>
      </c>
      <c r="W1" s="66" t="s">
        <v>188</v>
      </c>
      <c r="X1" s="66"/>
      <c r="Y1" s="66" t="s">
        <v>202</v>
      </c>
      <c r="Z1" s="66" t="s">
        <v>188</v>
      </c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68"/>
    </row>
    <row r="2">
      <c r="A2" s="7" t="s">
        <v>204</v>
      </c>
      <c r="B2" s="80" t="s">
        <v>241</v>
      </c>
      <c r="D2" s="67"/>
      <c r="E2" s="57" t="s">
        <v>204</v>
      </c>
      <c r="F2" s="57" t="s">
        <v>206</v>
      </c>
      <c r="G2" s="57"/>
      <c r="H2" s="57" t="s">
        <v>207</v>
      </c>
      <c r="I2" s="57" t="s">
        <v>206</v>
      </c>
      <c r="J2" s="57" t="s">
        <v>210</v>
      </c>
      <c r="K2" s="57" t="s">
        <v>206</v>
      </c>
      <c r="L2" s="57"/>
      <c r="M2" s="57" t="s">
        <v>210</v>
      </c>
      <c r="N2" s="57" t="s">
        <v>206</v>
      </c>
      <c r="O2" s="57"/>
      <c r="P2" s="57" t="s">
        <v>213</v>
      </c>
      <c r="Q2" s="57" t="s">
        <v>206</v>
      </c>
      <c r="R2" s="57"/>
      <c r="S2" s="57" t="s">
        <v>214</v>
      </c>
      <c r="T2" s="57" t="s">
        <v>206</v>
      </c>
      <c r="U2" s="57"/>
      <c r="V2" s="57" t="s">
        <v>213</v>
      </c>
      <c r="W2" s="57" t="s">
        <v>206</v>
      </c>
      <c r="X2" s="57"/>
      <c r="Y2" s="57" t="s">
        <v>213</v>
      </c>
      <c r="Z2" s="57" t="s">
        <v>206</v>
      </c>
      <c r="AA2" s="7"/>
      <c r="AB2" s="57"/>
    </row>
    <row r="3">
      <c r="A3" s="7" t="s">
        <v>207</v>
      </c>
      <c r="B3" s="80" t="s">
        <v>241</v>
      </c>
      <c r="D3" s="67"/>
      <c r="E3" s="57" t="s">
        <v>217</v>
      </c>
      <c r="F3" s="57" t="s">
        <v>206</v>
      </c>
      <c r="G3" s="57"/>
      <c r="H3" s="57" t="s">
        <v>217</v>
      </c>
      <c r="I3" s="57" t="s">
        <v>206</v>
      </c>
      <c r="J3" s="57" t="s">
        <v>217</v>
      </c>
      <c r="K3" s="57" t="s">
        <v>206</v>
      </c>
      <c r="L3" s="57"/>
      <c r="M3" s="57" t="s">
        <v>217</v>
      </c>
      <c r="N3" s="57" t="s">
        <v>206</v>
      </c>
      <c r="O3" s="57"/>
      <c r="P3" s="57" t="s">
        <v>217</v>
      </c>
      <c r="Q3" s="57" t="s">
        <v>206</v>
      </c>
      <c r="R3" s="57"/>
      <c r="S3" s="57" t="s">
        <v>217</v>
      </c>
      <c r="T3" s="57" t="s">
        <v>206</v>
      </c>
      <c r="U3" s="57"/>
      <c r="V3" s="57" t="s">
        <v>217</v>
      </c>
      <c r="W3" s="57" t="s">
        <v>206</v>
      </c>
      <c r="X3" s="57"/>
      <c r="Y3" s="57" t="s">
        <v>220</v>
      </c>
      <c r="Z3" s="57" t="s">
        <v>152</v>
      </c>
      <c r="AA3" s="7"/>
      <c r="AB3" s="57"/>
    </row>
    <row r="4">
      <c r="A4" s="7" t="s">
        <v>210</v>
      </c>
      <c r="B4" s="80" t="s">
        <v>241</v>
      </c>
      <c r="D4" s="67"/>
      <c r="E4" s="7" t="s">
        <v>221</v>
      </c>
      <c r="F4" s="57" t="s">
        <v>206</v>
      </c>
      <c r="G4" s="57"/>
      <c r="H4" s="57" t="s">
        <v>223</v>
      </c>
      <c r="I4" s="57" t="s">
        <v>206</v>
      </c>
      <c r="J4" s="57" t="s">
        <v>223</v>
      </c>
      <c r="K4" s="57" t="s">
        <v>206</v>
      </c>
      <c r="L4" s="57"/>
      <c r="M4" s="57" t="s">
        <v>223</v>
      </c>
      <c r="N4" s="57" t="s">
        <v>206</v>
      </c>
      <c r="O4" s="57"/>
      <c r="P4" s="57" t="s">
        <v>221</v>
      </c>
      <c r="Q4" s="57" t="s">
        <v>206</v>
      </c>
      <c r="R4" s="57"/>
      <c r="S4" s="57" t="s">
        <v>223</v>
      </c>
      <c r="T4" s="57" t="s">
        <v>206</v>
      </c>
      <c r="U4" s="57"/>
      <c r="V4" s="57" t="s">
        <v>223</v>
      </c>
      <c r="W4" s="57" t="s">
        <v>206</v>
      </c>
      <c r="X4" s="57"/>
      <c r="Y4" s="57"/>
      <c r="AA4" s="57"/>
      <c r="AB4" s="7"/>
      <c r="AC4" s="57"/>
    </row>
    <row r="5">
      <c r="A5" s="7" t="s">
        <v>213</v>
      </c>
      <c r="B5" s="80" t="s">
        <v>241</v>
      </c>
      <c r="D5" s="67"/>
      <c r="E5" s="57" t="s">
        <v>227</v>
      </c>
      <c r="F5" s="57" t="s">
        <v>206</v>
      </c>
      <c r="G5" s="57"/>
      <c r="H5" s="57" t="s">
        <v>229</v>
      </c>
      <c r="I5" s="57" t="s">
        <v>206</v>
      </c>
      <c r="J5" s="57" t="s">
        <v>220</v>
      </c>
      <c r="K5" s="57" t="s">
        <v>206</v>
      </c>
      <c r="L5" s="57"/>
      <c r="M5" s="57" t="s">
        <v>220</v>
      </c>
      <c r="N5" s="57" t="s">
        <v>206</v>
      </c>
      <c r="O5" s="57"/>
      <c r="P5" s="57" t="s">
        <v>232</v>
      </c>
      <c r="Q5" s="57" t="s">
        <v>206</v>
      </c>
      <c r="R5" s="57"/>
      <c r="S5" s="57" t="s">
        <v>220</v>
      </c>
      <c r="T5" s="57" t="s">
        <v>206</v>
      </c>
      <c r="U5" s="57"/>
      <c r="V5" s="57" t="s">
        <v>220</v>
      </c>
      <c r="W5" s="57" t="s">
        <v>206</v>
      </c>
      <c r="X5" s="57"/>
      <c r="Y5" s="57"/>
      <c r="AA5" s="57"/>
      <c r="AB5" s="7"/>
      <c r="AC5" s="57"/>
    </row>
    <row r="6">
      <c r="A6" s="7" t="s">
        <v>214</v>
      </c>
      <c r="B6" s="80" t="s">
        <v>241</v>
      </c>
      <c r="D6" s="67"/>
      <c r="E6" s="57" t="s">
        <v>217</v>
      </c>
      <c r="F6" s="57" t="s">
        <v>206</v>
      </c>
      <c r="G6" s="57"/>
      <c r="H6" s="57" t="s">
        <v>233</v>
      </c>
      <c r="I6" s="57" t="s">
        <v>206</v>
      </c>
      <c r="J6" s="57" t="s">
        <v>233</v>
      </c>
      <c r="K6" s="57" t="s">
        <v>206</v>
      </c>
      <c r="L6" s="57"/>
      <c r="M6" s="57" t="s">
        <v>233</v>
      </c>
      <c r="N6" s="57" t="s">
        <v>206</v>
      </c>
      <c r="O6" s="57"/>
      <c r="P6" s="57" t="s">
        <v>223</v>
      </c>
      <c r="Q6" s="57" t="s">
        <v>206</v>
      </c>
      <c r="R6" s="57"/>
      <c r="S6" s="57" t="s">
        <v>233</v>
      </c>
      <c r="T6" s="57" t="s">
        <v>206</v>
      </c>
      <c r="U6" s="57"/>
      <c r="V6" s="57" t="s">
        <v>233</v>
      </c>
      <c r="W6" s="57" t="s">
        <v>206</v>
      </c>
      <c r="X6" s="57"/>
      <c r="Y6" s="57"/>
      <c r="AA6" s="57"/>
      <c r="AB6" s="7"/>
      <c r="AC6" s="57"/>
    </row>
    <row r="7">
      <c r="A7" s="7" t="s">
        <v>217</v>
      </c>
      <c r="B7" s="80" t="s">
        <v>268</v>
      </c>
      <c r="D7" s="67"/>
      <c r="E7" s="57" t="s">
        <v>223</v>
      </c>
      <c r="F7" s="57" t="s">
        <v>206</v>
      </c>
      <c r="G7" s="57"/>
      <c r="H7" s="57" t="s">
        <v>223</v>
      </c>
      <c r="I7" s="57" t="s">
        <v>206</v>
      </c>
      <c r="J7" s="57" t="s">
        <v>223</v>
      </c>
      <c r="K7" s="57" t="s">
        <v>206</v>
      </c>
      <c r="L7" s="57"/>
      <c r="M7" s="57" t="s">
        <v>223</v>
      </c>
      <c r="N7" s="57" t="s">
        <v>206</v>
      </c>
      <c r="O7" s="57"/>
      <c r="P7" s="57" t="s">
        <v>220</v>
      </c>
      <c r="Q7" s="57" t="s">
        <v>206</v>
      </c>
      <c r="R7" s="57"/>
      <c r="S7" s="57" t="s">
        <v>223</v>
      </c>
      <c r="T7" s="57" t="s">
        <v>206</v>
      </c>
      <c r="U7" s="57"/>
      <c r="V7" s="57" t="s">
        <v>223</v>
      </c>
      <c r="W7" s="57" t="s">
        <v>206</v>
      </c>
      <c r="X7" s="57"/>
      <c r="Y7" s="57"/>
      <c r="AA7" s="57"/>
      <c r="AB7" s="7"/>
      <c r="AC7" s="57"/>
    </row>
    <row r="8">
      <c r="A8" s="7" t="s">
        <v>223</v>
      </c>
      <c r="B8" s="80" t="s">
        <v>272</v>
      </c>
      <c r="D8" s="67"/>
      <c r="E8" s="57" t="s">
        <v>229</v>
      </c>
      <c r="F8" s="57" t="s">
        <v>206</v>
      </c>
      <c r="G8" s="57"/>
      <c r="H8" s="57" t="s">
        <v>237</v>
      </c>
      <c r="I8" s="57" t="s">
        <v>206</v>
      </c>
      <c r="J8" s="57" t="s">
        <v>237</v>
      </c>
      <c r="K8" s="57" t="s">
        <v>206</v>
      </c>
      <c r="L8" s="57"/>
      <c r="M8" s="57" t="s">
        <v>237</v>
      </c>
      <c r="N8" s="57" t="s">
        <v>206</v>
      </c>
      <c r="O8" s="57"/>
      <c r="P8" s="57" t="s">
        <v>233</v>
      </c>
      <c r="Q8" s="57" t="s">
        <v>206</v>
      </c>
      <c r="R8" s="57"/>
      <c r="S8" s="57" t="s">
        <v>237</v>
      </c>
      <c r="T8" s="57" t="s">
        <v>206</v>
      </c>
      <c r="U8" s="57"/>
      <c r="V8" s="57" t="s">
        <v>237</v>
      </c>
      <c r="W8" s="57" t="s">
        <v>206</v>
      </c>
      <c r="X8" s="57"/>
      <c r="Y8" s="57"/>
      <c r="AA8" s="57"/>
      <c r="AC8" s="57"/>
    </row>
    <row r="9">
      <c r="A9" s="7" t="s">
        <v>229</v>
      </c>
      <c r="B9" s="80" t="s">
        <v>280</v>
      </c>
      <c r="D9" s="67"/>
      <c r="E9" s="57" t="s">
        <v>233</v>
      </c>
      <c r="F9" s="57" t="s">
        <v>206</v>
      </c>
      <c r="G9" s="57"/>
      <c r="J9" s="57"/>
      <c r="K9" s="57"/>
      <c r="L9" s="57"/>
      <c r="M9" s="57"/>
      <c r="N9" s="57"/>
      <c r="O9" s="57"/>
      <c r="P9" s="57" t="s">
        <v>223</v>
      </c>
      <c r="Q9" s="57" t="s">
        <v>206</v>
      </c>
      <c r="R9" s="57"/>
      <c r="U9" s="57"/>
      <c r="V9" s="57"/>
      <c r="W9" s="57"/>
      <c r="Y9" s="57"/>
      <c r="AA9" s="57"/>
      <c r="AC9" s="57"/>
    </row>
    <row r="10">
      <c r="A10" s="7" t="s">
        <v>220</v>
      </c>
      <c r="B10" s="29" t="s">
        <v>287</v>
      </c>
      <c r="D10" s="67"/>
      <c r="E10" s="57" t="s">
        <v>223</v>
      </c>
      <c r="F10" s="57" t="s">
        <v>206</v>
      </c>
      <c r="P10" s="57" t="s">
        <v>237</v>
      </c>
      <c r="Q10" s="57" t="s">
        <v>206</v>
      </c>
      <c r="AC10" s="57"/>
    </row>
    <row r="11">
      <c r="A11" s="7" t="s">
        <v>233</v>
      </c>
      <c r="B11" s="29" t="s">
        <v>294</v>
      </c>
      <c r="D11" s="67"/>
      <c r="E11" s="57" t="s">
        <v>237</v>
      </c>
      <c r="F11" s="57" t="s">
        <v>206</v>
      </c>
    </row>
    <row r="12">
      <c r="A12" s="7" t="s">
        <v>237</v>
      </c>
      <c r="B12" s="29" t="s">
        <v>299</v>
      </c>
      <c r="D12" s="67"/>
    </row>
    <row r="13">
      <c r="A13" s="7" t="s">
        <v>221</v>
      </c>
      <c r="B13" s="80" t="s">
        <v>306</v>
      </c>
      <c r="D13" s="86"/>
    </row>
    <row r="14">
      <c r="A14" s="7" t="s">
        <v>227</v>
      </c>
      <c r="B14" s="80" t="s">
        <v>313</v>
      </c>
      <c r="D14" s="67"/>
    </row>
    <row r="15">
      <c r="A15" s="7" t="s">
        <v>232</v>
      </c>
      <c r="B15" s="80" t="s">
        <v>319</v>
      </c>
      <c r="D15" s="67"/>
      <c r="E15" s="7" t="s">
        <v>320</v>
      </c>
      <c r="F15" s="7" t="s">
        <v>152</v>
      </c>
      <c r="G15" s="7" t="s">
        <v>322</v>
      </c>
      <c r="P15" s="57"/>
      <c r="Q15" s="57"/>
    </row>
    <row r="16">
      <c r="A16" s="7" t="s">
        <v>323</v>
      </c>
      <c r="B16" s="29" t="s">
        <v>299</v>
      </c>
      <c r="D16" s="67"/>
      <c r="E16" s="7"/>
      <c r="F16" s="7"/>
      <c r="G16" s="7" t="s">
        <v>325</v>
      </c>
      <c r="I16" s="7"/>
      <c r="P16" s="57"/>
      <c r="Q16" s="57"/>
    </row>
    <row r="17">
      <c r="D17" s="67"/>
      <c r="E17" s="7"/>
      <c r="F17" s="7"/>
      <c r="G17" s="7" t="s">
        <v>326</v>
      </c>
      <c r="P17" s="57"/>
      <c r="Q17" s="57"/>
    </row>
    <row r="18">
      <c r="D18" s="86"/>
      <c r="E18" s="7"/>
      <c r="F18" s="7"/>
      <c r="G18" s="7" t="s">
        <v>327</v>
      </c>
      <c r="I18" s="7"/>
      <c r="P18" s="57"/>
      <c r="Q18" s="57"/>
    </row>
    <row r="19">
      <c r="D19" s="86"/>
      <c r="E19" s="7"/>
      <c r="F19" s="7"/>
      <c r="G19" s="7" t="s">
        <v>328</v>
      </c>
      <c r="P19" s="57"/>
      <c r="Q19" s="57"/>
    </row>
    <row r="20">
      <c r="B20" s="80" t="s">
        <v>329</v>
      </c>
      <c r="D20" s="86"/>
      <c r="E20" s="7"/>
      <c r="F20" s="7"/>
      <c r="G20" s="7" t="s">
        <v>330</v>
      </c>
      <c r="P20" s="57"/>
      <c r="Q20" s="57"/>
    </row>
    <row r="21">
      <c r="D21" s="86"/>
      <c r="E21" s="7"/>
      <c r="F21" s="7"/>
      <c r="G21" s="7"/>
      <c r="P21" s="57"/>
      <c r="Q21" s="57"/>
    </row>
    <row r="22">
      <c r="B22" s="80" t="s">
        <v>331</v>
      </c>
      <c r="D22" s="86"/>
      <c r="E22" s="7" t="s">
        <v>332</v>
      </c>
      <c r="F22" s="7" t="s">
        <v>206</v>
      </c>
      <c r="G22" s="7" t="s">
        <v>333</v>
      </c>
      <c r="P22" s="57"/>
      <c r="Q22" s="57"/>
    </row>
    <row r="23">
      <c r="D23" s="86"/>
      <c r="P23" s="57"/>
      <c r="Q23" s="57"/>
    </row>
    <row r="24">
      <c r="D24" s="86"/>
      <c r="P24" s="57"/>
      <c r="Q24" s="57"/>
    </row>
    <row r="25">
      <c r="D25" s="86"/>
      <c r="P25" s="57"/>
      <c r="Q25" s="57"/>
    </row>
    <row r="26">
      <c r="D26" s="86"/>
      <c r="P26" s="57"/>
      <c r="Q26" s="57"/>
    </row>
    <row r="27">
      <c r="D27" s="86"/>
      <c r="P27" s="57"/>
      <c r="Q27" s="57"/>
    </row>
    <row r="28">
      <c r="D28" s="86"/>
      <c r="P28" s="57"/>
      <c r="Q28" s="57"/>
    </row>
    <row r="29">
      <c r="D29" s="86"/>
      <c r="P29" s="57"/>
      <c r="Q29" s="57"/>
    </row>
    <row r="30">
      <c r="D30" s="86"/>
      <c r="P30" s="57"/>
      <c r="Q30" s="57"/>
    </row>
    <row r="31">
      <c r="D31" s="86"/>
      <c r="E31" s="85"/>
      <c r="P31" s="57"/>
      <c r="Q31" s="57"/>
    </row>
    <row r="32">
      <c r="D32" s="86"/>
      <c r="P32" s="57"/>
      <c r="Q32" s="57"/>
    </row>
    <row r="33">
      <c r="D33" s="86"/>
      <c r="P33" s="57"/>
      <c r="Q33" s="57"/>
    </row>
    <row r="34">
      <c r="D34" s="86"/>
    </row>
    <row r="35">
      <c r="D35" s="86"/>
    </row>
    <row r="36">
      <c r="D36" s="86"/>
    </row>
    <row r="37">
      <c r="D37" s="86"/>
    </row>
    <row r="38">
      <c r="D38" s="86"/>
    </row>
    <row r="39">
      <c r="D39" s="86"/>
    </row>
    <row r="40">
      <c r="D40" s="86"/>
    </row>
    <row r="41">
      <c r="D41" s="86"/>
    </row>
    <row r="42">
      <c r="D42" s="86"/>
    </row>
    <row r="43">
      <c r="D43" s="86"/>
    </row>
    <row r="44">
      <c r="D44" s="86"/>
    </row>
    <row r="45">
      <c r="D45" s="86"/>
    </row>
    <row r="46">
      <c r="D46" s="86"/>
    </row>
    <row r="47">
      <c r="D47" s="86"/>
    </row>
    <row r="48">
      <c r="D48" s="86"/>
    </row>
    <row r="49">
      <c r="D49" s="86"/>
    </row>
    <row r="50">
      <c r="D50" s="86"/>
    </row>
    <row r="51">
      <c r="D51" s="86"/>
    </row>
    <row r="52">
      <c r="D52" s="86"/>
    </row>
    <row r="53">
      <c r="D53" s="86"/>
    </row>
    <row r="54">
      <c r="D54" s="86"/>
    </row>
    <row r="55">
      <c r="D55" s="86"/>
    </row>
    <row r="56">
      <c r="D56" s="86"/>
    </row>
    <row r="57">
      <c r="D57" s="86"/>
    </row>
    <row r="58">
      <c r="D58" s="86"/>
    </row>
    <row r="59">
      <c r="D59" s="86"/>
    </row>
    <row r="60">
      <c r="D60" s="86"/>
    </row>
    <row r="61">
      <c r="D61" s="86"/>
    </row>
    <row r="62">
      <c r="D62" s="86"/>
    </row>
    <row r="63">
      <c r="D63" s="86"/>
    </row>
    <row r="64">
      <c r="D64" s="86"/>
    </row>
    <row r="65">
      <c r="D65" s="86"/>
    </row>
    <row r="66">
      <c r="D66" s="86"/>
    </row>
    <row r="67">
      <c r="D67" s="86"/>
    </row>
    <row r="68">
      <c r="D68" s="86"/>
    </row>
    <row r="69">
      <c r="D69" s="86"/>
    </row>
    <row r="70">
      <c r="D70" s="86"/>
    </row>
    <row r="71">
      <c r="D71" s="86"/>
    </row>
    <row r="72">
      <c r="D72" s="86"/>
    </row>
    <row r="73">
      <c r="D73" s="86"/>
    </row>
    <row r="74">
      <c r="D74" s="86"/>
    </row>
    <row r="75">
      <c r="D75" s="86"/>
    </row>
    <row r="76">
      <c r="D76" s="86"/>
    </row>
    <row r="77">
      <c r="D77" s="86"/>
    </row>
    <row r="78">
      <c r="D78" s="86"/>
    </row>
    <row r="79">
      <c r="D79" s="86"/>
    </row>
    <row r="80">
      <c r="D80" s="86"/>
    </row>
    <row r="81">
      <c r="D81" s="86"/>
    </row>
    <row r="82">
      <c r="D82" s="86"/>
    </row>
    <row r="83">
      <c r="D83" s="86"/>
    </row>
    <row r="84">
      <c r="D84" s="86"/>
    </row>
    <row r="85">
      <c r="D85" s="86"/>
    </row>
    <row r="86">
      <c r="D86" s="86"/>
    </row>
    <row r="87">
      <c r="D87" s="86"/>
    </row>
    <row r="88">
      <c r="D88" s="86"/>
    </row>
    <row r="89">
      <c r="D89" s="86"/>
    </row>
    <row r="90">
      <c r="D90" s="86"/>
    </row>
    <row r="91">
      <c r="D91" s="86"/>
    </row>
    <row r="92">
      <c r="D92" s="86"/>
    </row>
    <row r="93">
      <c r="D93" s="86"/>
    </row>
    <row r="94">
      <c r="D94" s="86"/>
    </row>
    <row r="95">
      <c r="D95" s="86"/>
    </row>
    <row r="96">
      <c r="D96" s="86"/>
    </row>
    <row r="97">
      <c r="D97" s="86"/>
    </row>
    <row r="98">
      <c r="D98" s="86"/>
    </row>
    <row r="99">
      <c r="D99" s="86"/>
    </row>
    <row r="100">
      <c r="D100" s="86"/>
    </row>
    <row r="101">
      <c r="D101" s="86"/>
    </row>
    <row r="102">
      <c r="D102" s="86"/>
    </row>
    <row r="103">
      <c r="D103" s="86"/>
    </row>
    <row r="104">
      <c r="D104" s="86"/>
    </row>
    <row r="105">
      <c r="D105" s="86"/>
    </row>
    <row r="106">
      <c r="D106" s="86"/>
    </row>
    <row r="107">
      <c r="D107" s="86"/>
    </row>
    <row r="108">
      <c r="D108" s="86"/>
    </row>
    <row r="109">
      <c r="D109" s="86"/>
    </row>
    <row r="110">
      <c r="D110" s="86"/>
    </row>
    <row r="111">
      <c r="D111" s="86"/>
    </row>
    <row r="112">
      <c r="D112" s="86"/>
    </row>
    <row r="113">
      <c r="D113" s="86"/>
    </row>
    <row r="114">
      <c r="D114" s="86"/>
    </row>
    <row r="115">
      <c r="D115" s="86"/>
    </row>
    <row r="116">
      <c r="D116" s="86"/>
    </row>
    <row r="117">
      <c r="D117" s="86"/>
    </row>
    <row r="118">
      <c r="D118" s="86"/>
    </row>
    <row r="119">
      <c r="D119" s="86"/>
    </row>
    <row r="120">
      <c r="D120" s="86"/>
    </row>
    <row r="121">
      <c r="D121" s="86"/>
    </row>
    <row r="122">
      <c r="D122" s="86"/>
    </row>
    <row r="123">
      <c r="D123" s="86"/>
    </row>
    <row r="124">
      <c r="D124" s="86"/>
    </row>
    <row r="125">
      <c r="D125" s="86"/>
    </row>
    <row r="126">
      <c r="D126" s="86"/>
    </row>
    <row r="127">
      <c r="D127" s="86"/>
    </row>
    <row r="128">
      <c r="D128" s="86"/>
    </row>
    <row r="129">
      <c r="D129" s="86"/>
    </row>
    <row r="130">
      <c r="D130" s="86"/>
    </row>
    <row r="131">
      <c r="D131" s="86"/>
    </row>
    <row r="132">
      <c r="D132" s="86"/>
    </row>
    <row r="133">
      <c r="D133" s="86"/>
    </row>
    <row r="134">
      <c r="D134" s="86"/>
    </row>
    <row r="135">
      <c r="D135" s="86"/>
    </row>
    <row r="136">
      <c r="D136" s="86"/>
    </row>
    <row r="137">
      <c r="D137" s="86"/>
    </row>
    <row r="138">
      <c r="D138" s="86"/>
    </row>
    <row r="139">
      <c r="D139" s="86"/>
    </row>
    <row r="140">
      <c r="D140" s="86"/>
    </row>
    <row r="141">
      <c r="D141" s="86"/>
    </row>
    <row r="142">
      <c r="D142" s="86"/>
    </row>
    <row r="143">
      <c r="D143" s="86"/>
    </row>
    <row r="144">
      <c r="D144" s="86"/>
    </row>
    <row r="145">
      <c r="D145" s="86"/>
    </row>
    <row r="146">
      <c r="D146" s="86"/>
    </row>
    <row r="147">
      <c r="D147" s="86"/>
    </row>
    <row r="148">
      <c r="D148" s="86"/>
    </row>
    <row r="149">
      <c r="D149" s="86"/>
    </row>
    <row r="150">
      <c r="D150" s="86"/>
    </row>
    <row r="151">
      <c r="D151" s="86"/>
    </row>
    <row r="152">
      <c r="D152" s="86"/>
    </row>
    <row r="153">
      <c r="D153" s="86"/>
    </row>
    <row r="154">
      <c r="D154" s="86"/>
    </row>
    <row r="155">
      <c r="D155" s="86"/>
    </row>
    <row r="156">
      <c r="D156" s="86"/>
    </row>
    <row r="157">
      <c r="D157" s="86"/>
    </row>
    <row r="158">
      <c r="D158" s="86"/>
    </row>
    <row r="159">
      <c r="D159" s="86"/>
    </row>
    <row r="160">
      <c r="D160" s="86"/>
    </row>
    <row r="161">
      <c r="D161" s="86"/>
    </row>
    <row r="162">
      <c r="D162" s="86"/>
    </row>
    <row r="163">
      <c r="D163" s="86"/>
    </row>
    <row r="164">
      <c r="D164" s="86"/>
    </row>
    <row r="165">
      <c r="D165" s="86"/>
    </row>
    <row r="166">
      <c r="D166" s="86"/>
    </row>
    <row r="167">
      <c r="D167" s="86"/>
    </row>
    <row r="168">
      <c r="D168" s="86"/>
    </row>
    <row r="169">
      <c r="D169" s="86"/>
    </row>
    <row r="170">
      <c r="D170" s="86"/>
    </row>
    <row r="171">
      <c r="D171" s="86"/>
    </row>
    <row r="172">
      <c r="D172" s="86"/>
    </row>
    <row r="173">
      <c r="D173" s="86"/>
    </row>
    <row r="174">
      <c r="D174" s="86"/>
    </row>
    <row r="175">
      <c r="D175" s="86"/>
    </row>
    <row r="176">
      <c r="D176" s="86"/>
    </row>
    <row r="177">
      <c r="D177" s="86"/>
    </row>
    <row r="178">
      <c r="D178" s="86"/>
    </row>
    <row r="179">
      <c r="D179" s="86"/>
    </row>
    <row r="180">
      <c r="D180" s="86"/>
    </row>
    <row r="181">
      <c r="D181" s="86"/>
    </row>
    <row r="182">
      <c r="D182" s="86"/>
    </row>
    <row r="183">
      <c r="D183" s="86"/>
    </row>
    <row r="184">
      <c r="D184" s="86"/>
    </row>
    <row r="185">
      <c r="D185" s="86"/>
    </row>
    <row r="186">
      <c r="D186" s="86"/>
    </row>
    <row r="187">
      <c r="D187" s="86"/>
    </row>
    <row r="188">
      <c r="D188" s="86"/>
    </row>
    <row r="189">
      <c r="D189" s="86"/>
    </row>
    <row r="190">
      <c r="D190" s="86"/>
    </row>
    <row r="191">
      <c r="D191" s="86"/>
    </row>
    <row r="192">
      <c r="D192" s="86"/>
    </row>
    <row r="193">
      <c r="D193" s="86"/>
    </row>
    <row r="194">
      <c r="D194" s="86"/>
    </row>
    <row r="195">
      <c r="D195" s="86"/>
    </row>
    <row r="196">
      <c r="D196" s="86"/>
    </row>
    <row r="197">
      <c r="D197" s="86"/>
    </row>
    <row r="198">
      <c r="D198" s="86"/>
    </row>
    <row r="199">
      <c r="D199" s="86"/>
    </row>
    <row r="200">
      <c r="D200" s="86"/>
    </row>
    <row r="201">
      <c r="D201" s="86"/>
    </row>
    <row r="202">
      <c r="D202" s="86"/>
    </row>
    <row r="203">
      <c r="D203" s="86"/>
    </row>
    <row r="204">
      <c r="D204" s="86"/>
    </row>
    <row r="205">
      <c r="D205" s="86"/>
    </row>
    <row r="206">
      <c r="D206" s="86"/>
    </row>
    <row r="207">
      <c r="D207" s="86"/>
    </row>
    <row r="208">
      <c r="D208" s="86"/>
    </row>
    <row r="209">
      <c r="D209" s="86"/>
    </row>
    <row r="210">
      <c r="D210" s="86"/>
    </row>
    <row r="211">
      <c r="D211" s="86"/>
    </row>
    <row r="212">
      <c r="D212" s="86"/>
    </row>
    <row r="213">
      <c r="D213" s="86"/>
    </row>
    <row r="214">
      <c r="D214" s="86"/>
    </row>
    <row r="215">
      <c r="D215" s="86"/>
    </row>
    <row r="216">
      <c r="D216" s="86"/>
    </row>
    <row r="217">
      <c r="D217" s="86"/>
    </row>
    <row r="218">
      <c r="D218" s="86"/>
    </row>
    <row r="219">
      <c r="D219" s="86"/>
    </row>
    <row r="220">
      <c r="D220" s="86"/>
    </row>
    <row r="221">
      <c r="D221" s="86"/>
    </row>
    <row r="222">
      <c r="D222" s="86"/>
    </row>
    <row r="223">
      <c r="D223" s="86"/>
    </row>
    <row r="224">
      <c r="D224" s="86"/>
    </row>
    <row r="225">
      <c r="D225" s="86"/>
    </row>
    <row r="226">
      <c r="D226" s="86"/>
    </row>
    <row r="227">
      <c r="D227" s="86"/>
    </row>
    <row r="228">
      <c r="D228" s="86"/>
    </row>
    <row r="229">
      <c r="D229" s="86"/>
    </row>
    <row r="230">
      <c r="D230" s="86"/>
    </row>
    <row r="231">
      <c r="D231" s="86"/>
    </row>
    <row r="232">
      <c r="D232" s="86"/>
    </row>
    <row r="233">
      <c r="D233" s="86"/>
    </row>
    <row r="234">
      <c r="D234" s="86"/>
    </row>
    <row r="235">
      <c r="D235" s="86"/>
    </row>
    <row r="236">
      <c r="D236" s="86"/>
    </row>
    <row r="237">
      <c r="D237" s="86"/>
    </row>
    <row r="238">
      <c r="D238" s="86"/>
    </row>
    <row r="239">
      <c r="D239" s="86"/>
    </row>
    <row r="240">
      <c r="D240" s="86"/>
    </row>
    <row r="241">
      <c r="D241" s="86"/>
    </row>
    <row r="242">
      <c r="D242" s="86"/>
    </row>
    <row r="243">
      <c r="D243" s="86"/>
    </row>
    <row r="244">
      <c r="D244" s="86"/>
    </row>
    <row r="245">
      <c r="D245" s="86"/>
    </row>
    <row r="246">
      <c r="D246" s="86"/>
    </row>
    <row r="247">
      <c r="D247" s="86"/>
    </row>
    <row r="248">
      <c r="D248" s="86"/>
    </row>
    <row r="249">
      <c r="D249" s="86"/>
    </row>
    <row r="250">
      <c r="D250" s="86"/>
    </row>
    <row r="251">
      <c r="D251" s="86"/>
    </row>
    <row r="252">
      <c r="D252" s="86"/>
    </row>
    <row r="253">
      <c r="D253" s="86"/>
    </row>
    <row r="254">
      <c r="D254" s="86"/>
    </row>
    <row r="255">
      <c r="D255" s="86"/>
    </row>
    <row r="256">
      <c r="D256" s="86"/>
    </row>
    <row r="257">
      <c r="D257" s="86"/>
    </row>
    <row r="258">
      <c r="D258" s="86"/>
    </row>
    <row r="259">
      <c r="D259" s="86"/>
    </row>
    <row r="260">
      <c r="D260" s="86"/>
    </row>
    <row r="261">
      <c r="D261" s="86"/>
    </row>
    <row r="262">
      <c r="D262" s="86"/>
    </row>
    <row r="263">
      <c r="D263" s="86"/>
    </row>
    <row r="264">
      <c r="D264" s="86"/>
    </row>
    <row r="265">
      <c r="D265" s="86"/>
    </row>
    <row r="266">
      <c r="D266" s="86"/>
    </row>
    <row r="267">
      <c r="D267" s="86"/>
    </row>
    <row r="268">
      <c r="D268" s="86"/>
    </row>
    <row r="269">
      <c r="D269" s="86"/>
    </row>
    <row r="270">
      <c r="D270" s="86"/>
    </row>
    <row r="271">
      <c r="D271" s="86"/>
    </row>
    <row r="272">
      <c r="D272" s="86"/>
    </row>
    <row r="273">
      <c r="D273" s="86"/>
    </row>
    <row r="274">
      <c r="D274" s="86"/>
    </row>
    <row r="275">
      <c r="D275" s="86"/>
    </row>
    <row r="276">
      <c r="D276" s="86"/>
    </row>
    <row r="277">
      <c r="D277" s="86"/>
    </row>
    <row r="278">
      <c r="D278" s="86"/>
    </row>
    <row r="279">
      <c r="D279" s="86"/>
    </row>
    <row r="280">
      <c r="D280" s="86"/>
    </row>
    <row r="281">
      <c r="D281" s="86"/>
    </row>
    <row r="282">
      <c r="D282" s="86"/>
    </row>
    <row r="283">
      <c r="D283" s="86"/>
    </row>
    <row r="284">
      <c r="D284" s="86"/>
    </row>
    <row r="285">
      <c r="D285" s="86"/>
    </row>
    <row r="286">
      <c r="D286" s="86"/>
    </row>
    <row r="287">
      <c r="D287" s="86"/>
    </row>
    <row r="288">
      <c r="D288" s="86"/>
    </row>
    <row r="289">
      <c r="D289" s="86"/>
    </row>
    <row r="290">
      <c r="D290" s="86"/>
    </row>
    <row r="291">
      <c r="D291" s="86"/>
    </row>
    <row r="292">
      <c r="D292" s="86"/>
    </row>
    <row r="293">
      <c r="D293" s="86"/>
    </row>
    <row r="294">
      <c r="D294" s="86"/>
    </row>
    <row r="295">
      <c r="D295" s="86"/>
    </row>
    <row r="296">
      <c r="D296" s="86"/>
    </row>
    <row r="297">
      <c r="D297" s="86"/>
    </row>
    <row r="298">
      <c r="D298" s="86"/>
    </row>
    <row r="299">
      <c r="D299" s="86"/>
    </row>
    <row r="300">
      <c r="D300" s="86"/>
    </row>
    <row r="301">
      <c r="D301" s="86"/>
    </row>
    <row r="302">
      <c r="D302" s="86"/>
    </row>
    <row r="303">
      <c r="D303" s="86"/>
    </row>
    <row r="304">
      <c r="D304" s="86"/>
    </row>
    <row r="305">
      <c r="D305" s="86"/>
    </row>
    <row r="306">
      <c r="D306" s="86"/>
    </row>
    <row r="307">
      <c r="D307" s="86"/>
    </row>
    <row r="308">
      <c r="D308" s="86"/>
    </row>
    <row r="309">
      <c r="D309" s="86"/>
    </row>
    <row r="310">
      <c r="D310" s="86"/>
    </row>
    <row r="311">
      <c r="D311" s="86"/>
    </row>
    <row r="312">
      <c r="D312" s="86"/>
    </row>
    <row r="313">
      <c r="D313" s="86"/>
    </row>
    <row r="314">
      <c r="D314" s="86"/>
    </row>
    <row r="315">
      <c r="D315" s="86"/>
    </row>
    <row r="316">
      <c r="D316" s="86"/>
    </row>
    <row r="317">
      <c r="D317" s="86"/>
    </row>
    <row r="318">
      <c r="D318" s="86"/>
    </row>
    <row r="319">
      <c r="D319" s="86"/>
    </row>
    <row r="320">
      <c r="D320" s="86"/>
    </row>
    <row r="321">
      <c r="D321" s="86"/>
    </row>
    <row r="322">
      <c r="D322" s="86"/>
    </row>
    <row r="323">
      <c r="D323" s="86"/>
    </row>
    <row r="324">
      <c r="D324" s="86"/>
    </row>
    <row r="325">
      <c r="D325" s="86"/>
    </row>
    <row r="326">
      <c r="D326" s="86"/>
    </row>
    <row r="327">
      <c r="D327" s="86"/>
    </row>
    <row r="328">
      <c r="D328" s="86"/>
    </row>
    <row r="329">
      <c r="D329" s="86"/>
    </row>
    <row r="330">
      <c r="D330" s="86"/>
    </row>
    <row r="331">
      <c r="D331" s="86"/>
    </row>
    <row r="332">
      <c r="D332" s="86"/>
    </row>
    <row r="333">
      <c r="D333" s="86"/>
    </row>
    <row r="334">
      <c r="D334" s="86"/>
    </row>
    <row r="335">
      <c r="D335" s="86"/>
    </row>
    <row r="336">
      <c r="D336" s="86"/>
    </row>
    <row r="337">
      <c r="D337" s="86"/>
    </row>
    <row r="338">
      <c r="D338" s="86"/>
    </row>
    <row r="339">
      <c r="D339" s="86"/>
    </row>
    <row r="340">
      <c r="D340" s="86"/>
    </row>
    <row r="341">
      <c r="D341" s="86"/>
    </row>
    <row r="342">
      <c r="D342" s="86"/>
    </row>
    <row r="343">
      <c r="D343" s="86"/>
    </row>
    <row r="344">
      <c r="D344" s="86"/>
    </row>
    <row r="345">
      <c r="D345" s="86"/>
    </row>
    <row r="346">
      <c r="D346" s="86"/>
    </row>
    <row r="347">
      <c r="D347" s="86"/>
    </row>
    <row r="348">
      <c r="D348" s="86"/>
    </row>
    <row r="349">
      <c r="D349" s="86"/>
    </row>
    <row r="350">
      <c r="D350" s="86"/>
    </row>
    <row r="351">
      <c r="D351" s="86"/>
    </row>
    <row r="352">
      <c r="D352" s="86"/>
    </row>
    <row r="353">
      <c r="D353" s="86"/>
    </row>
    <row r="354">
      <c r="D354" s="86"/>
    </row>
    <row r="355">
      <c r="D355" s="86"/>
    </row>
    <row r="356">
      <c r="D356" s="86"/>
    </row>
    <row r="357">
      <c r="D357" s="86"/>
    </row>
    <row r="358">
      <c r="D358" s="86"/>
    </row>
    <row r="359">
      <c r="D359" s="86"/>
    </row>
    <row r="360">
      <c r="D360" s="86"/>
    </row>
    <row r="361">
      <c r="D361" s="86"/>
    </row>
    <row r="362">
      <c r="D362" s="86"/>
    </row>
    <row r="363">
      <c r="D363" s="86"/>
    </row>
    <row r="364">
      <c r="D364" s="86"/>
    </row>
    <row r="365">
      <c r="D365" s="86"/>
    </row>
    <row r="366">
      <c r="D366" s="86"/>
    </row>
    <row r="367">
      <c r="D367" s="86"/>
    </row>
    <row r="368">
      <c r="D368" s="86"/>
    </row>
    <row r="369">
      <c r="D369" s="86"/>
    </row>
    <row r="370">
      <c r="D370" s="86"/>
    </row>
    <row r="371">
      <c r="D371" s="86"/>
    </row>
    <row r="372">
      <c r="D372" s="86"/>
    </row>
    <row r="373">
      <c r="D373" s="86"/>
    </row>
    <row r="374">
      <c r="D374" s="86"/>
    </row>
    <row r="375">
      <c r="D375" s="86"/>
    </row>
    <row r="376">
      <c r="D376" s="86"/>
    </row>
    <row r="377">
      <c r="D377" s="86"/>
    </row>
    <row r="378">
      <c r="D378" s="86"/>
    </row>
    <row r="379">
      <c r="D379" s="86"/>
    </row>
    <row r="380">
      <c r="D380" s="86"/>
    </row>
    <row r="381">
      <c r="D381" s="86"/>
    </row>
    <row r="382">
      <c r="D382" s="86"/>
    </row>
    <row r="383">
      <c r="D383" s="86"/>
    </row>
    <row r="384">
      <c r="D384" s="86"/>
    </row>
    <row r="385">
      <c r="D385" s="86"/>
    </row>
    <row r="386">
      <c r="D386" s="86"/>
    </row>
    <row r="387">
      <c r="D387" s="86"/>
    </row>
    <row r="388">
      <c r="D388" s="86"/>
    </row>
    <row r="389">
      <c r="D389" s="86"/>
    </row>
    <row r="390">
      <c r="D390" s="86"/>
    </row>
    <row r="391">
      <c r="D391" s="86"/>
    </row>
    <row r="392">
      <c r="D392" s="86"/>
    </row>
    <row r="393">
      <c r="D393" s="86"/>
    </row>
    <row r="394">
      <c r="D394" s="86"/>
    </row>
    <row r="395">
      <c r="D395" s="86"/>
    </row>
    <row r="396">
      <c r="D396" s="86"/>
    </row>
    <row r="397">
      <c r="D397" s="86"/>
    </row>
    <row r="398">
      <c r="D398" s="86"/>
    </row>
    <row r="399">
      <c r="D399" s="86"/>
    </row>
    <row r="400">
      <c r="D400" s="86"/>
    </row>
    <row r="401">
      <c r="D401" s="86"/>
    </row>
    <row r="402">
      <c r="D402" s="86"/>
    </row>
    <row r="403">
      <c r="D403" s="86"/>
    </row>
    <row r="404">
      <c r="D404" s="86"/>
    </row>
    <row r="405">
      <c r="D405" s="86"/>
    </row>
    <row r="406">
      <c r="D406" s="86"/>
    </row>
    <row r="407">
      <c r="D407" s="86"/>
    </row>
    <row r="408">
      <c r="D408" s="86"/>
    </row>
    <row r="409">
      <c r="D409" s="86"/>
    </row>
    <row r="410">
      <c r="D410" s="86"/>
    </row>
    <row r="411">
      <c r="D411" s="86"/>
    </row>
    <row r="412">
      <c r="D412" s="86"/>
    </row>
    <row r="413">
      <c r="D413" s="86"/>
    </row>
    <row r="414">
      <c r="D414" s="86"/>
    </row>
    <row r="415">
      <c r="D415" s="86"/>
    </row>
    <row r="416">
      <c r="D416" s="86"/>
    </row>
    <row r="417">
      <c r="D417" s="86"/>
    </row>
    <row r="418">
      <c r="D418" s="86"/>
    </row>
    <row r="419">
      <c r="D419" s="86"/>
    </row>
    <row r="420">
      <c r="D420" s="86"/>
    </row>
    <row r="421">
      <c r="D421" s="86"/>
    </row>
    <row r="422">
      <c r="D422" s="86"/>
    </row>
    <row r="423">
      <c r="D423" s="86"/>
    </row>
    <row r="424">
      <c r="D424" s="86"/>
    </row>
    <row r="425">
      <c r="D425" s="86"/>
    </row>
    <row r="426">
      <c r="D426" s="86"/>
    </row>
    <row r="427">
      <c r="D427" s="86"/>
    </row>
    <row r="428">
      <c r="D428" s="86"/>
    </row>
    <row r="429">
      <c r="D429" s="86"/>
    </row>
    <row r="430">
      <c r="D430" s="86"/>
    </row>
    <row r="431">
      <c r="D431" s="86"/>
    </row>
    <row r="432">
      <c r="D432" s="86"/>
    </row>
    <row r="433">
      <c r="D433" s="86"/>
    </row>
    <row r="434">
      <c r="D434" s="86"/>
    </row>
    <row r="435">
      <c r="D435" s="86"/>
    </row>
    <row r="436">
      <c r="D436" s="86"/>
    </row>
    <row r="437">
      <c r="D437" s="86"/>
    </row>
    <row r="438">
      <c r="D438" s="86"/>
    </row>
    <row r="439">
      <c r="D439" s="86"/>
    </row>
    <row r="440">
      <c r="D440" s="86"/>
    </row>
    <row r="441">
      <c r="D441" s="86"/>
    </row>
    <row r="442">
      <c r="D442" s="86"/>
    </row>
    <row r="443">
      <c r="D443" s="86"/>
    </row>
    <row r="444">
      <c r="D444" s="86"/>
    </row>
    <row r="445">
      <c r="D445" s="86"/>
    </row>
    <row r="446">
      <c r="D446" s="86"/>
    </row>
    <row r="447">
      <c r="D447" s="86"/>
    </row>
    <row r="448">
      <c r="D448" s="86"/>
    </row>
    <row r="449">
      <c r="D449" s="86"/>
    </row>
    <row r="450">
      <c r="D450" s="86"/>
    </row>
    <row r="451">
      <c r="D451" s="86"/>
    </row>
    <row r="452">
      <c r="D452" s="86"/>
    </row>
    <row r="453">
      <c r="D453" s="86"/>
    </row>
    <row r="454">
      <c r="D454" s="86"/>
    </row>
    <row r="455">
      <c r="D455" s="86"/>
    </row>
    <row r="456">
      <c r="D456" s="86"/>
    </row>
    <row r="457">
      <c r="D457" s="86"/>
    </row>
    <row r="458">
      <c r="D458" s="86"/>
    </row>
    <row r="459">
      <c r="D459" s="86"/>
    </row>
    <row r="460">
      <c r="D460" s="86"/>
    </row>
    <row r="461">
      <c r="D461" s="86"/>
    </row>
    <row r="462">
      <c r="D462" s="86"/>
    </row>
    <row r="463">
      <c r="D463" s="86"/>
    </row>
    <row r="464">
      <c r="D464" s="86"/>
    </row>
    <row r="465">
      <c r="D465" s="86"/>
    </row>
    <row r="466">
      <c r="D466" s="86"/>
    </row>
    <row r="467">
      <c r="D467" s="86"/>
    </row>
    <row r="468">
      <c r="D468" s="86"/>
    </row>
    <row r="469">
      <c r="D469" s="86"/>
    </row>
    <row r="470">
      <c r="D470" s="86"/>
    </row>
    <row r="471">
      <c r="D471" s="86"/>
    </row>
    <row r="472">
      <c r="D472" s="86"/>
    </row>
    <row r="473">
      <c r="D473" s="86"/>
    </row>
    <row r="474">
      <c r="D474" s="86"/>
    </row>
    <row r="475">
      <c r="D475" s="86"/>
    </row>
    <row r="476">
      <c r="D476" s="86"/>
    </row>
    <row r="477">
      <c r="D477" s="86"/>
    </row>
    <row r="478">
      <c r="D478" s="86"/>
    </row>
    <row r="479">
      <c r="D479" s="86"/>
    </row>
    <row r="480">
      <c r="D480" s="86"/>
    </row>
    <row r="481">
      <c r="D481" s="86"/>
    </row>
    <row r="482">
      <c r="D482" s="86"/>
    </row>
    <row r="483">
      <c r="D483" s="86"/>
    </row>
    <row r="484">
      <c r="D484" s="86"/>
    </row>
    <row r="485">
      <c r="D485" s="86"/>
    </row>
    <row r="486">
      <c r="D486" s="86"/>
    </row>
    <row r="487">
      <c r="D487" s="86"/>
    </row>
    <row r="488">
      <c r="D488" s="86"/>
    </row>
    <row r="489">
      <c r="D489" s="86"/>
    </row>
    <row r="490">
      <c r="D490" s="86"/>
    </row>
    <row r="491">
      <c r="D491" s="86"/>
    </row>
    <row r="492">
      <c r="D492" s="86"/>
    </row>
    <row r="493">
      <c r="D493" s="86"/>
    </row>
    <row r="494">
      <c r="D494" s="86"/>
    </row>
    <row r="495">
      <c r="D495" s="86"/>
    </row>
    <row r="496">
      <c r="D496" s="86"/>
    </row>
    <row r="497">
      <c r="D497" s="86"/>
    </row>
    <row r="498">
      <c r="D498" s="86"/>
    </row>
    <row r="499">
      <c r="D499" s="86"/>
    </row>
    <row r="500">
      <c r="D500" s="86"/>
    </row>
    <row r="501">
      <c r="D501" s="86"/>
    </row>
    <row r="502">
      <c r="D502" s="86"/>
    </row>
    <row r="503">
      <c r="D503" s="86"/>
    </row>
    <row r="504">
      <c r="D504" s="86"/>
    </row>
    <row r="505">
      <c r="D505" s="86"/>
    </row>
    <row r="506">
      <c r="D506" s="86"/>
    </row>
    <row r="507">
      <c r="D507" s="86"/>
    </row>
    <row r="508">
      <c r="D508" s="86"/>
    </row>
    <row r="509">
      <c r="D509" s="86"/>
    </row>
    <row r="510">
      <c r="D510" s="86"/>
    </row>
    <row r="511">
      <c r="D511" s="86"/>
    </row>
    <row r="512">
      <c r="D512" s="86"/>
    </row>
    <row r="513">
      <c r="D513" s="86"/>
    </row>
    <row r="514">
      <c r="D514" s="86"/>
    </row>
    <row r="515">
      <c r="D515" s="86"/>
    </row>
    <row r="516">
      <c r="D516" s="86"/>
    </row>
    <row r="517">
      <c r="D517" s="86"/>
    </row>
    <row r="518">
      <c r="D518" s="86"/>
    </row>
    <row r="519">
      <c r="D519" s="86"/>
    </row>
    <row r="520">
      <c r="D520" s="86"/>
    </row>
    <row r="521">
      <c r="D521" s="86"/>
    </row>
    <row r="522">
      <c r="D522" s="86"/>
    </row>
    <row r="523">
      <c r="D523" s="86"/>
    </row>
    <row r="524">
      <c r="D524" s="86"/>
    </row>
    <row r="525">
      <c r="D525" s="86"/>
    </row>
    <row r="526">
      <c r="D526" s="86"/>
    </row>
    <row r="527">
      <c r="D527" s="86"/>
    </row>
    <row r="528">
      <c r="D528" s="86"/>
    </row>
    <row r="529">
      <c r="D529" s="86"/>
    </row>
    <row r="530">
      <c r="D530" s="86"/>
    </row>
    <row r="531">
      <c r="D531" s="86"/>
    </row>
    <row r="532">
      <c r="D532" s="86"/>
    </row>
    <row r="533">
      <c r="D533" s="86"/>
    </row>
    <row r="534">
      <c r="D534" s="86"/>
    </row>
    <row r="535">
      <c r="D535" s="86"/>
    </row>
    <row r="536">
      <c r="D536" s="86"/>
    </row>
    <row r="537">
      <c r="D537" s="86"/>
    </row>
    <row r="538">
      <c r="D538" s="86"/>
    </row>
    <row r="539">
      <c r="D539" s="86"/>
    </row>
    <row r="540">
      <c r="D540" s="86"/>
    </row>
    <row r="541">
      <c r="D541" s="86"/>
    </row>
    <row r="542">
      <c r="D542" s="86"/>
    </row>
    <row r="543">
      <c r="D543" s="86"/>
    </row>
    <row r="544">
      <c r="D544" s="86"/>
    </row>
    <row r="545">
      <c r="D545" s="86"/>
    </row>
    <row r="546">
      <c r="D546" s="86"/>
    </row>
    <row r="547">
      <c r="D547" s="86"/>
    </row>
    <row r="548">
      <c r="D548" s="86"/>
    </row>
    <row r="549">
      <c r="D549" s="86"/>
    </row>
    <row r="550">
      <c r="D550" s="86"/>
    </row>
    <row r="551">
      <c r="D551" s="86"/>
    </row>
    <row r="552">
      <c r="D552" s="86"/>
    </row>
    <row r="553">
      <c r="D553" s="86"/>
    </row>
    <row r="554">
      <c r="D554" s="86"/>
    </row>
    <row r="555">
      <c r="D555" s="86"/>
    </row>
    <row r="556">
      <c r="D556" s="86"/>
    </row>
    <row r="557">
      <c r="D557" s="86"/>
    </row>
    <row r="558">
      <c r="D558" s="86"/>
    </row>
    <row r="559">
      <c r="D559" s="86"/>
    </row>
    <row r="560">
      <c r="D560" s="86"/>
    </row>
    <row r="561">
      <c r="D561" s="86"/>
    </row>
    <row r="562">
      <c r="D562" s="86"/>
    </row>
    <row r="563">
      <c r="D563" s="86"/>
    </row>
    <row r="564">
      <c r="D564" s="86"/>
    </row>
    <row r="565">
      <c r="D565" s="86"/>
    </row>
    <row r="566">
      <c r="D566" s="86"/>
    </row>
    <row r="567">
      <c r="D567" s="86"/>
    </row>
    <row r="568">
      <c r="D568" s="86"/>
    </row>
    <row r="569">
      <c r="D569" s="86"/>
    </row>
    <row r="570">
      <c r="D570" s="86"/>
    </row>
    <row r="571">
      <c r="D571" s="86"/>
    </row>
    <row r="572">
      <c r="D572" s="86"/>
    </row>
    <row r="573">
      <c r="D573" s="86"/>
    </row>
    <row r="574">
      <c r="D574" s="86"/>
    </row>
    <row r="575">
      <c r="D575" s="86"/>
    </row>
    <row r="576">
      <c r="D576" s="86"/>
    </row>
    <row r="577">
      <c r="D577" s="86"/>
    </row>
    <row r="578">
      <c r="D578" s="86"/>
    </row>
    <row r="579">
      <c r="D579" s="86"/>
    </row>
    <row r="580">
      <c r="D580" s="86"/>
    </row>
    <row r="581">
      <c r="D581" s="86"/>
    </row>
    <row r="582">
      <c r="D582" s="86"/>
    </row>
    <row r="583">
      <c r="D583" s="86"/>
    </row>
    <row r="584">
      <c r="D584" s="86"/>
    </row>
    <row r="585">
      <c r="D585" s="86"/>
    </row>
    <row r="586">
      <c r="D586" s="86"/>
    </row>
    <row r="587">
      <c r="D587" s="86"/>
    </row>
    <row r="588">
      <c r="D588" s="86"/>
    </row>
    <row r="589">
      <c r="D589" s="86"/>
    </row>
    <row r="590">
      <c r="D590" s="86"/>
    </row>
    <row r="591">
      <c r="D591" s="86"/>
    </row>
    <row r="592">
      <c r="D592" s="86"/>
    </row>
    <row r="593">
      <c r="D593" s="86"/>
    </row>
    <row r="594">
      <c r="D594" s="86"/>
    </row>
    <row r="595">
      <c r="D595" s="86"/>
    </row>
    <row r="596">
      <c r="D596" s="86"/>
    </row>
    <row r="597">
      <c r="D597" s="86"/>
    </row>
    <row r="598">
      <c r="D598" s="86"/>
    </row>
    <row r="599">
      <c r="D599" s="86"/>
    </row>
    <row r="600">
      <c r="D600" s="86"/>
    </row>
    <row r="601">
      <c r="D601" s="86"/>
    </row>
    <row r="602">
      <c r="D602" s="86"/>
    </row>
    <row r="603">
      <c r="D603" s="86"/>
    </row>
    <row r="604">
      <c r="D604" s="86"/>
    </row>
    <row r="605">
      <c r="D605" s="86"/>
    </row>
    <row r="606">
      <c r="D606" s="86"/>
    </row>
    <row r="607">
      <c r="D607" s="86"/>
    </row>
    <row r="608">
      <c r="D608" s="86"/>
    </row>
    <row r="609">
      <c r="D609" s="86"/>
    </row>
    <row r="610">
      <c r="D610" s="86"/>
    </row>
    <row r="611">
      <c r="D611" s="86"/>
    </row>
    <row r="612">
      <c r="D612" s="86"/>
    </row>
    <row r="613">
      <c r="D613" s="86"/>
    </row>
    <row r="614">
      <c r="D614" s="86"/>
    </row>
    <row r="615">
      <c r="D615" s="86"/>
    </row>
    <row r="616">
      <c r="D616" s="86"/>
    </row>
    <row r="617">
      <c r="D617" s="86"/>
    </row>
    <row r="618">
      <c r="D618" s="86"/>
    </row>
    <row r="619">
      <c r="D619" s="86"/>
    </row>
    <row r="620">
      <c r="D620" s="86"/>
    </row>
    <row r="621">
      <c r="D621" s="86"/>
    </row>
    <row r="622">
      <c r="D622" s="86"/>
    </row>
    <row r="623">
      <c r="D623" s="86"/>
    </row>
    <row r="624">
      <c r="D624" s="86"/>
    </row>
    <row r="625">
      <c r="D625" s="86"/>
    </row>
    <row r="626">
      <c r="D626" s="86"/>
    </row>
    <row r="627">
      <c r="D627" s="86"/>
    </row>
    <row r="628">
      <c r="D628" s="86"/>
    </row>
    <row r="629">
      <c r="D629" s="86"/>
    </row>
    <row r="630">
      <c r="D630" s="86"/>
    </row>
    <row r="631">
      <c r="D631" s="86"/>
    </row>
    <row r="632">
      <c r="D632" s="86"/>
    </row>
    <row r="633">
      <c r="D633" s="86"/>
    </row>
    <row r="634">
      <c r="D634" s="86"/>
    </row>
    <row r="635">
      <c r="D635" s="86"/>
    </row>
    <row r="636">
      <c r="D636" s="86"/>
    </row>
    <row r="637">
      <c r="D637" s="86"/>
    </row>
    <row r="638">
      <c r="D638" s="86"/>
    </row>
    <row r="639">
      <c r="D639" s="86"/>
    </row>
    <row r="640">
      <c r="D640" s="86"/>
    </row>
    <row r="641">
      <c r="D641" s="86"/>
    </row>
    <row r="642">
      <c r="D642" s="86"/>
    </row>
    <row r="643">
      <c r="D643" s="86"/>
    </row>
    <row r="644">
      <c r="D644" s="86"/>
    </row>
    <row r="645">
      <c r="D645" s="86"/>
    </row>
    <row r="646">
      <c r="D646" s="86"/>
    </row>
    <row r="647">
      <c r="D647" s="86"/>
    </row>
    <row r="648">
      <c r="D648" s="86"/>
    </row>
    <row r="649">
      <c r="D649" s="86"/>
    </row>
    <row r="650">
      <c r="D650" s="86"/>
    </row>
    <row r="651">
      <c r="D651" s="86"/>
    </row>
    <row r="652">
      <c r="D652" s="86"/>
    </row>
    <row r="653">
      <c r="D653" s="86"/>
    </row>
    <row r="654">
      <c r="D654" s="86"/>
    </row>
    <row r="655">
      <c r="D655" s="86"/>
    </row>
    <row r="656">
      <c r="D656" s="86"/>
    </row>
    <row r="657">
      <c r="D657" s="86"/>
    </row>
    <row r="658">
      <c r="D658" s="86"/>
    </row>
    <row r="659">
      <c r="D659" s="86"/>
    </row>
    <row r="660">
      <c r="D660" s="86"/>
    </row>
    <row r="661">
      <c r="D661" s="86"/>
    </row>
    <row r="662">
      <c r="D662" s="86"/>
    </row>
    <row r="663">
      <c r="D663" s="86"/>
    </row>
    <row r="664">
      <c r="D664" s="86"/>
    </row>
    <row r="665">
      <c r="D665" s="86"/>
    </row>
    <row r="666">
      <c r="D666" s="86"/>
    </row>
    <row r="667">
      <c r="D667" s="86"/>
    </row>
    <row r="668">
      <c r="D668" s="86"/>
    </row>
    <row r="669">
      <c r="D669" s="86"/>
    </row>
    <row r="670">
      <c r="D670" s="86"/>
    </row>
    <row r="671">
      <c r="D671" s="86"/>
    </row>
    <row r="672">
      <c r="D672" s="86"/>
    </row>
    <row r="673">
      <c r="D673" s="86"/>
    </row>
    <row r="674">
      <c r="D674" s="86"/>
    </row>
    <row r="675">
      <c r="D675" s="86"/>
    </row>
    <row r="676">
      <c r="D676" s="86"/>
    </row>
    <row r="677">
      <c r="D677" s="86"/>
    </row>
    <row r="678">
      <c r="D678" s="86"/>
    </row>
    <row r="679">
      <c r="D679" s="86"/>
    </row>
    <row r="680">
      <c r="D680" s="86"/>
    </row>
    <row r="681">
      <c r="D681" s="86"/>
    </row>
    <row r="682">
      <c r="D682" s="86"/>
    </row>
    <row r="683">
      <c r="D683" s="86"/>
    </row>
    <row r="684">
      <c r="D684" s="86"/>
    </row>
    <row r="685">
      <c r="D685" s="86"/>
    </row>
    <row r="686">
      <c r="D686" s="86"/>
    </row>
    <row r="687">
      <c r="D687" s="86"/>
    </row>
    <row r="688">
      <c r="D688" s="86"/>
    </row>
    <row r="689">
      <c r="D689" s="86"/>
    </row>
    <row r="690">
      <c r="D690" s="86"/>
    </row>
    <row r="691">
      <c r="D691" s="86"/>
    </row>
    <row r="692">
      <c r="D692" s="86"/>
    </row>
    <row r="693">
      <c r="D693" s="86"/>
    </row>
    <row r="694">
      <c r="D694" s="86"/>
    </row>
    <row r="695">
      <c r="D695" s="86"/>
    </row>
    <row r="696">
      <c r="D696" s="86"/>
    </row>
    <row r="697">
      <c r="D697" s="86"/>
    </row>
    <row r="698">
      <c r="D698" s="86"/>
    </row>
    <row r="699">
      <c r="D699" s="86"/>
    </row>
    <row r="700">
      <c r="D700" s="86"/>
    </row>
    <row r="701">
      <c r="D701" s="86"/>
    </row>
    <row r="702">
      <c r="D702" s="86"/>
    </row>
    <row r="703">
      <c r="D703" s="86"/>
    </row>
    <row r="704">
      <c r="D704" s="86"/>
    </row>
    <row r="705">
      <c r="D705" s="86"/>
    </row>
    <row r="706">
      <c r="D706" s="86"/>
    </row>
    <row r="707">
      <c r="D707" s="86"/>
    </row>
    <row r="708">
      <c r="D708" s="86"/>
    </row>
    <row r="709">
      <c r="D709" s="86"/>
    </row>
    <row r="710">
      <c r="D710" s="86"/>
    </row>
    <row r="711">
      <c r="D711" s="86"/>
    </row>
    <row r="712">
      <c r="D712" s="86"/>
    </row>
    <row r="713">
      <c r="D713" s="86"/>
    </row>
    <row r="714">
      <c r="D714" s="86"/>
    </row>
    <row r="715">
      <c r="D715" s="86"/>
    </row>
    <row r="716">
      <c r="D716" s="86"/>
    </row>
    <row r="717">
      <c r="D717" s="86"/>
    </row>
    <row r="718">
      <c r="D718" s="86"/>
    </row>
    <row r="719">
      <c r="D719" s="86"/>
    </row>
    <row r="720">
      <c r="D720" s="86"/>
    </row>
    <row r="721">
      <c r="D721" s="86"/>
    </row>
    <row r="722">
      <c r="D722" s="86"/>
    </row>
    <row r="723">
      <c r="D723" s="86"/>
    </row>
    <row r="724">
      <c r="D724" s="86"/>
    </row>
    <row r="725">
      <c r="D725" s="86"/>
    </row>
    <row r="726">
      <c r="D726" s="86"/>
    </row>
    <row r="727">
      <c r="D727" s="86"/>
    </row>
    <row r="728">
      <c r="D728" s="86"/>
    </row>
    <row r="729">
      <c r="D729" s="86"/>
    </row>
    <row r="730">
      <c r="D730" s="86"/>
    </row>
    <row r="731">
      <c r="D731" s="86"/>
    </row>
    <row r="732">
      <c r="D732" s="86"/>
    </row>
    <row r="733">
      <c r="D733" s="86"/>
    </row>
    <row r="734">
      <c r="D734" s="86"/>
    </row>
    <row r="735">
      <c r="D735" s="86"/>
    </row>
    <row r="736">
      <c r="D736" s="86"/>
    </row>
    <row r="737">
      <c r="D737" s="86"/>
    </row>
    <row r="738">
      <c r="D738" s="86"/>
    </row>
    <row r="739">
      <c r="D739" s="86"/>
    </row>
    <row r="740">
      <c r="D740" s="86"/>
    </row>
    <row r="741">
      <c r="D741" s="86"/>
    </row>
    <row r="742">
      <c r="D742" s="86"/>
    </row>
    <row r="743">
      <c r="D743" s="86"/>
    </row>
    <row r="744">
      <c r="D744" s="86"/>
    </row>
    <row r="745">
      <c r="D745" s="86"/>
    </row>
    <row r="746">
      <c r="D746" s="86"/>
    </row>
    <row r="747">
      <c r="D747" s="86"/>
    </row>
    <row r="748">
      <c r="D748" s="86"/>
    </row>
    <row r="749">
      <c r="D749" s="86"/>
    </row>
    <row r="750">
      <c r="D750" s="86"/>
    </row>
    <row r="751">
      <c r="D751" s="86"/>
    </row>
    <row r="752">
      <c r="D752" s="86"/>
    </row>
    <row r="753">
      <c r="D753" s="86"/>
    </row>
    <row r="754">
      <c r="D754" s="86"/>
    </row>
    <row r="755">
      <c r="D755" s="86"/>
    </row>
    <row r="756">
      <c r="D756" s="86"/>
    </row>
    <row r="757">
      <c r="D757" s="86"/>
    </row>
    <row r="758">
      <c r="D758" s="86"/>
    </row>
    <row r="759">
      <c r="D759" s="86"/>
    </row>
    <row r="760">
      <c r="D760" s="86"/>
    </row>
    <row r="761">
      <c r="D761" s="86"/>
    </row>
    <row r="762">
      <c r="D762" s="86"/>
    </row>
    <row r="763">
      <c r="D763" s="86"/>
    </row>
    <row r="764">
      <c r="D764" s="86"/>
    </row>
    <row r="765">
      <c r="D765" s="86"/>
    </row>
    <row r="766">
      <c r="D766" s="86"/>
    </row>
    <row r="767">
      <c r="D767" s="86"/>
    </row>
    <row r="768">
      <c r="D768" s="86"/>
    </row>
    <row r="769">
      <c r="D769" s="86"/>
    </row>
    <row r="770">
      <c r="D770" s="86"/>
    </row>
    <row r="771">
      <c r="D771" s="86"/>
    </row>
    <row r="772">
      <c r="D772" s="86"/>
    </row>
    <row r="773">
      <c r="D773" s="86"/>
    </row>
    <row r="774">
      <c r="D774" s="86"/>
    </row>
    <row r="775">
      <c r="D775" s="86"/>
    </row>
    <row r="776">
      <c r="D776" s="86"/>
    </row>
    <row r="777">
      <c r="D777" s="86"/>
    </row>
    <row r="778">
      <c r="D778" s="86"/>
    </row>
    <row r="779">
      <c r="D779" s="86"/>
    </row>
    <row r="780">
      <c r="D780" s="86"/>
    </row>
    <row r="781">
      <c r="D781" s="86"/>
    </row>
    <row r="782">
      <c r="D782" s="86"/>
    </row>
    <row r="783">
      <c r="D783" s="86"/>
    </row>
    <row r="784">
      <c r="D784" s="86"/>
    </row>
    <row r="785">
      <c r="D785" s="86"/>
    </row>
    <row r="786">
      <c r="D786" s="86"/>
    </row>
    <row r="787">
      <c r="D787" s="86"/>
    </row>
    <row r="788">
      <c r="D788" s="86"/>
    </row>
    <row r="789">
      <c r="D789" s="86"/>
    </row>
    <row r="790">
      <c r="D790" s="86"/>
    </row>
    <row r="791">
      <c r="D791" s="86"/>
    </row>
    <row r="792">
      <c r="D792" s="86"/>
    </row>
    <row r="793">
      <c r="D793" s="86"/>
    </row>
    <row r="794">
      <c r="D794" s="86"/>
    </row>
    <row r="795">
      <c r="D795" s="86"/>
    </row>
    <row r="796">
      <c r="D796" s="86"/>
    </row>
    <row r="797">
      <c r="D797" s="86"/>
    </row>
    <row r="798">
      <c r="D798" s="86"/>
    </row>
    <row r="799">
      <c r="D799" s="86"/>
    </row>
    <row r="800">
      <c r="D800" s="86"/>
    </row>
    <row r="801">
      <c r="D801" s="86"/>
    </row>
    <row r="802">
      <c r="D802" s="86"/>
    </row>
    <row r="803">
      <c r="D803" s="86"/>
    </row>
    <row r="804">
      <c r="D804" s="86"/>
    </row>
    <row r="805">
      <c r="D805" s="86"/>
    </row>
    <row r="806">
      <c r="D806" s="86"/>
    </row>
    <row r="807">
      <c r="D807" s="86"/>
    </row>
    <row r="808">
      <c r="D808" s="86"/>
    </row>
    <row r="809">
      <c r="D809" s="86"/>
    </row>
    <row r="810">
      <c r="D810" s="86"/>
    </row>
    <row r="811">
      <c r="D811" s="86"/>
    </row>
    <row r="812">
      <c r="D812" s="86"/>
    </row>
    <row r="813">
      <c r="D813" s="86"/>
    </row>
    <row r="814">
      <c r="D814" s="86"/>
    </row>
    <row r="815">
      <c r="D815" s="86"/>
    </row>
    <row r="816">
      <c r="D816" s="86"/>
    </row>
    <row r="817">
      <c r="D817" s="86"/>
    </row>
    <row r="818">
      <c r="D818" s="86"/>
    </row>
    <row r="819">
      <c r="D819" s="86"/>
    </row>
    <row r="820">
      <c r="D820" s="86"/>
    </row>
    <row r="821">
      <c r="D821" s="86"/>
    </row>
    <row r="822">
      <c r="D822" s="86"/>
    </row>
    <row r="823">
      <c r="D823" s="86"/>
    </row>
    <row r="824">
      <c r="D824" s="86"/>
    </row>
    <row r="825">
      <c r="D825" s="86"/>
    </row>
    <row r="826">
      <c r="D826" s="86"/>
    </row>
    <row r="827">
      <c r="D827" s="86"/>
    </row>
    <row r="828">
      <c r="D828" s="86"/>
    </row>
    <row r="829">
      <c r="D829" s="86"/>
    </row>
    <row r="830">
      <c r="D830" s="86"/>
    </row>
    <row r="831">
      <c r="D831" s="86"/>
    </row>
    <row r="832">
      <c r="D832" s="86"/>
    </row>
    <row r="833">
      <c r="D833" s="86"/>
    </row>
    <row r="834">
      <c r="D834" s="86"/>
    </row>
    <row r="835">
      <c r="D835" s="86"/>
    </row>
    <row r="836">
      <c r="D836" s="86"/>
    </row>
    <row r="837">
      <c r="D837" s="86"/>
    </row>
    <row r="838">
      <c r="D838" s="86"/>
    </row>
    <row r="839">
      <c r="D839" s="86"/>
    </row>
    <row r="840">
      <c r="D840" s="86"/>
    </row>
    <row r="841">
      <c r="D841" s="86"/>
    </row>
    <row r="842">
      <c r="D842" s="86"/>
    </row>
    <row r="843">
      <c r="D843" s="86"/>
    </row>
    <row r="844">
      <c r="D844" s="86"/>
    </row>
    <row r="845">
      <c r="D845" s="86"/>
    </row>
    <row r="846">
      <c r="D846" s="86"/>
    </row>
    <row r="847">
      <c r="D847" s="86"/>
    </row>
    <row r="848">
      <c r="D848" s="86"/>
    </row>
    <row r="849">
      <c r="D849" s="86"/>
    </row>
    <row r="850">
      <c r="D850" s="86"/>
    </row>
    <row r="851">
      <c r="D851" s="86"/>
    </row>
    <row r="852">
      <c r="D852" s="86"/>
    </row>
    <row r="853">
      <c r="D853" s="86"/>
    </row>
    <row r="854">
      <c r="D854" s="86"/>
    </row>
    <row r="855">
      <c r="D855" s="86"/>
    </row>
    <row r="856">
      <c r="D856" s="86"/>
    </row>
    <row r="857">
      <c r="D857" s="86"/>
    </row>
    <row r="858">
      <c r="D858" s="86"/>
    </row>
    <row r="859">
      <c r="D859" s="86"/>
    </row>
    <row r="860">
      <c r="D860" s="86"/>
    </row>
    <row r="861">
      <c r="D861" s="86"/>
    </row>
    <row r="862">
      <c r="D862" s="86"/>
    </row>
    <row r="863">
      <c r="D863" s="86"/>
    </row>
    <row r="864">
      <c r="D864" s="86"/>
    </row>
    <row r="865">
      <c r="D865" s="86"/>
    </row>
    <row r="866">
      <c r="D866" s="86"/>
    </row>
    <row r="867">
      <c r="D867" s="86"/>
    </row>
    <row r="868">
      <c r="D868" s="86"/>
    </row>
    <row r="869">
      <c r="D869" s="86"/>
    </row>
    <row r="870">
      <c r="D870" s="86"/>
    </row>
    <row r="871">
      <c r="D871" s="86"/>
    </row>
    <row r="872">
      <c r="D872" s="86"/>
    </row>
    <row r="873">
      <c r="D873" s="86"/>
    </row>
    <row r="874">
      <c r="D874" s="86"/>
    </row>
    <row r="875">
      <c r="D875" s="86"/>
    </row>
    <row r="876">
      <c r="D876" s="86"/>
    </row>
    <row r="877">
      <c r="D877" s="86"/>
    </row>
    <row r="878">
      <c r="D878" s="86"/>
    </row>
    <row r="879">
      <c r="D879" s="86"/>
    </row>
    <row r="880">
      <c r="D880" s="86"/>
    </row>
    <row r="881">
      <c r="D881" s="86"/>
    </row>
    <row r="882">
      <c r="D882" s="86"/>
    </row>
    <row r="883">
      <c r="D883" s="86"/>
    </row>
    <row r="884">
      <c r="D884" s="86"/>
    </row>
    <row r="885">
      <c r="D885" s="86"/>
    </row>
    <row r="886">
      <c r="D886" s="86"/>
    </row>
    <row r="887">
      <c r="D887" s="86"/>
    </row>
    <row r="888">
      <c r="D888" s="86"/>
    </row>
    <row r="889">
      <c r="D889" s="86"/>
    </row>
    <row r="890">
      <c r="D890" s="86"/>
    </row>
    <row r="891">
      <c r="D891" s="86"/>
    </row>
    <row r="892">
      <c r="D892" s="86"/>
    </row>
    <row r="893">
      <c r="D893" s="86"/>
    </row>
    <row r="894">
      <c r="D894" s="86"/>
    </row>
    <row r="895">
      <c r="D895" s="86"/>
    </row>
    <row r="896">
      <c r="D896" s="86"/>
    </row>
    <row r="897">
      <c r="D897" s="86"/>
    </row>
    <row r="898">
      <c r="D898" s="86"/>
    </row>
    <row r="899">
      <c r="D899" s="86"/>
    </row>
    <row r="900">
      <c r="D900" s="86"/>
    </row>
    <row r="901">
      <c r="D901" s="86"/>
    </row>
    <row r="902">
      <c r="D902" s="86"/>
    </row>
    <row r="903">
      <c r="D903" s="86"/>
    </row>
    <row r="904">
      <c r="D904" s="86"/>
    </row>
    <row r="905">
      <c r="D905" s="86"/>
    </row>
    <row r="906">
      <c r="D906" s="86"/>
    </row>
    <row r="907">
      <c r="D907" s="86"/>
    </row>
    <row r="908">
      <c r="D908" s="86"/>
    </row>
    <row r="909">
      <c r="D909" s="86"/>
    </row>
    <row r="910">
      <c r="D910" s="86"/>
    </row>
    <row r="911">
      <c r="D911" s="86"/>
    </row>
    <row r="912">
      <c r="D912" s="86"/>
    </row>
    <row r="913">
      <c r="D913" s="86"/>
    </row>
    <row r="914">
      <c r="D914" s="86"/>
    </row>
    <row r="915">
      <c r="D915" s="86"/>
    </row>
    <row r="916">
      <c r="D916" s="86"/>
    </row>
    <row r="917">
      <c r="D917" s="86"/>
    </row>
    <row r="918">
      <c r="D918" s="86"/>
    </row>
    <row r="919">
      <c r="D919" s="86"/>
    </row>
    <row r="920">
      <c r="D920" s="86"/>
    </row>
    <row r="921">
      <c r="D921" s="86"/>
    </row>
    <row r="922">
      <c r="D922" s="86"/>
    </row>
    <row r="923">
      <c r="D923" s="86"/>
    </row>
    <row r="924">
      <c r="D924" s="86"/>
    </row>
    <row r="925">
      <c r="D925" s="86"/>
    </row>
    <row r="926">
      <c r="D926" s="86"/>
    </row>
    <row r="927">
      <c r="D927" s="86"/>
    </row>
    <row r="928">
      <c r="D928" s="86"/>
    </row>
    <row r="929">
      <c r="D929" s="86"/>
    </row>
    <row r="930">
      <c r="D930" s="86"/>
    </row>
    <row r="931">
      <c r="D931" s="86"/>
    </row>
    <row r="932">
      <c r="D932" s="86"/>
    </row>
    <row r="933">
      <c r="D933" s="86"/>
    </row>
    <row r="934">
      <c r="D934" s="86"/>
    </row>
    <row r="935">
      <c r="D935" s="86"/>
    </row>
    <row r="936">
      <c r="D936" s="86"/>
    </row>
    <row r="937">
      <c r="D937" s="86"/>
    </row>
    <row r="938">
      <c r="D938" s="86"/>
    </row>
    <row r="939">
      <c r="D939" s="86"/>
    </row>
    <row r="940">
      <c r="D940" s="86"/>
    </row>
    <row r="941">
      <c r="D941" s="86"/>
    </row>
    <row r="942">
      <c r="D942" s="86"/>
    </row>
    <row r="943">
      <c r="D943" s="86"/>
    </row>
    <row r="944">
      <c r="D944" s="86"/>
    </row>
    <row r="945">
      <c r="D945" s="86"/>
    </row>
    <row r="946">
      <c r="D946" s="86"/>
    </row>
    <row r="947">
      <c r="D947" s="86"/>
    </row>
    <row r="948">
      <c r="D948" s="86"/>
    </row>
    <row r="949">
      <c r="D949" s="86"/>
    </row>
    <row r="950">
      <c r="D950" s="86"/>
    </row>
    <row r="951">
      <c r="D951" s="86"/>
    </row>
    <row r="952">
      <c r="D952" s="86"/>
    </row>
    <row r="953">
      <c r="D953" s="86"/>
    </row>
    <row r="954">
      <c r="D954" s="86"/>
    </row>
    <row r="955">
      <c r="D955" s="86"/>
    </row>
    <row r="956">
      <c r="D956" s="86"/>
    </row>
    <row r="957">
      <c r="D957" s="86"/>
    </row>
    <row r="958">
      <c r="D958" s="86"/>
    </row>
    <row r="959">
      <c r="D959" s="86"/>
    </row>
    <row r="960">
      <c r="D960" s="86"/>
    </row>
    <row r="961">
      <c r="D961" s="86"/>
    </row>
    <row r="962">
      <c r="D962" s="86"/>
    </row>
    <row r="963">
      <c r="D963" s="86"/>
    </row>
    <row r="964">
      <c r="D964" s="86"/>
    </row>
    <row r="965">
      <c r="D965" s="86"/>
    </row>
    <row r="966">
      <c r="D966" s="86"/>
    </row>
    <row r="967">
      <c r="D967" s="86"/>
    </row>
    <row r="968">
      <c r="D968" s="86"/>
    </row>
    <row r="969">
      <c r="D969" s="86"/>
    </row>
    <row r="970">
      <c r="D970" s="86"/>
    </row>
    <row r="971">
      <c r="D971" s="86"/>
    </row>
    <row r="972">
      <c r="D972" s="86"/>
    </row>
    <row r="973">
      <c r="D973" s="86"/>
    </row>
    <row r="974">
      <c r="D974" s="86"/>
    </row>
    <row r="975">
      <c r="D975" s="86"/>
    </row>
    <row r="976">
      <c r="D976" s="86"/>
    </row>
    <row r="977">
      <c r="D977" s="86"/>
    </row>
    <row r="978">
      <c r="D978" s="86"/>
    </row>
    <row r="979">
      <c r="D979" s="86"/>
    </row>
    <row r="980">
      <c r="D980" s="86"/>
    </row>
    <row r="981">
      <c r="D981" s="86"/>
    </row>
    <row r="982">
      <c r="D982" s="86"/>
    </row>
    <row r="983">
      <c r="D983" s="86"/>
    </row>
    <row r="984">
      <c r="D984" s="86"/>
    </row>
    <row r="985">
      <c r="D985" s="86"/>
    </row>
    <row r="986">
      <c r="D986" s="86"/>
    </row>
    <row r="987">
      <c r="D987" s="86"/>
    </row>
    <row r="988">
      <c r="D988" s="86"/>
    </row>
    <row r="989">
      <c r="D989" s="86"/>
    </row>
    <row r="990">
      <c r="D990" s="86"/>
    </row>
    <row r="991">
      <c r="D991" s="86"/>
    </row>
    <row r="992">
      <c r="D992" s="86"/>
    </row>
    <row r="993">
      <c r="D993" s="86"/>
    </row>
    <row r="994">
      <c r="D994" s="86"/>
    </row>
    <row r="995">
      <c r="D995" s="86"/>
    </row>
    <row r="996">
      <c r="D996" s="86"/>
    </row>
    <row r="997">
      <c r="D997" s="86"/>
    </row>
    <row r="998">
      <c r="D998" s="86"/>
    </row>
    <row r="999">
      <c r="D999" s="86"/>
    </row>
    <row r="1000">
      <c r="D1000" s="86"/>
    </row>
    <row r="1001">
      <c r="D1001" s="86"/>
    </row>
    <row r="1002">
      <c r="D1002" s="86"/>
    </row>
    <row r="1003">
      <c r="D1003" s="86"/>
    </row>
    <row r="1004">
      <c r="D1004" s="86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20"/>
    <hyperlink r:id="rId17" ref="B22"/>
  </hyperlinks>
  <drawing r:id="rId18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